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Ashwathi Shanigaramu\Downloads\Week 1 - Project\"/>
    </mc:Choice>
  </mc:AlternateContent>
  <xr:revisionPtr revIDLastSave="0" documentId="8_{90772074-5367-43B0-92DF-384CFDA833EE}" xr6:coauthVersionLast="47" xr6:coauthVersionMax="47" xr10:uidLastSave="{00000000-0000-0000-0000-000000000000}"/>
  <bookViews>
    <workbookView xWindow="-108" yWindow="-108" windowWidth="23256" windowHeight="12456" firstSheet="1" activeTab="1" xr2:uid="{8ECFF224-5834-474E-9927-6F93A51B5C89}"/>
  </bookViews>
  <sheets>
    <sheet name="Sales Dataset" sheetId="1" r:id="rId1"/>
    <sheet name="Sales Performance Dashboard." sheetId="6" r:id="rId2"/>
    <sheet name="Pivot 1" sheetId="2" r:id="rId3"/>
    <sheet name="Pivot 2" sheetId="3" r:id="rId4"/>
    <sheet name="Pivot 3" sheetId="4" r:id="rId5"/>
    <sheet name="Pivot 4" sheetId="5" r:id="rId6"/>
  </sheets>
  <definedNames>
    <definedName name="Slicer_region">#N/A</definedName>
  </definedNames>
  <calcPr calcId="0"/>
  <pivotCaches>
    <pivotCache cacheId="1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B58" i="6" l="1"/>
  <c r="L3" i="6"/>
  <c r="I3" i="6"/>
  <c r="F3" i="6"/>
  <c r="C3" i="6"/>
  <c r="N403" i="1"/>
  <c r="N338" i="1"/>
  <c r="N687" i="1"/>
  <c r="N441" i="1"/>
  <c r="N824" i="1"/>
  <c r="N658" i="1"/>
  <c r="N339" i="1"/>
  <c r="N428" i="1"/>
  <c r="N786" i="1"/>
  <c r="N538" i="1"/>
  <c r="N494" i="1"/>
  <c r="N340" i="1"/>
  <c r="N359" i="1"/>
  <c r="N194" i="1"/>
  <c r="N17" i="1"/>
  <c r="N922" i="1"/>
  <c r="N429" i="1"/>
  <c r="N539" i="1"/>
  <c r="N939" i="1"/>
  <c r="N518" i="1"/>
  <c r="N312" i="1"/>
  <c r="N141" i="1"/>
  <c r="N951" i="1"/>
  <c r="N787" i="1"/>
  <c r="N770" i="1"/>
  <c r="N477" i="1"/>
  <c r="N164" i="1"/>
  <c r="N85" i="1"/>
  <c r="N640" i="1"/>
  <c r="N86" i="1"/>
  <c r="N275" i="1"/>
  <c r="N383" i="1"/>
  <c r="N753" i="1"/>
  <c r="N675" i="1"/>
  <c r="N940" i="1"/>
  <c r="N495" i="1"/>
  <c r="N207" i="1"/>
  <c r="N276" i="1"/>
  <c r="N208" i="1"/>
  <c r="N659" i="1"/>
  <c r="N219" i="1"/>
  <c r="N825" i="1"/>
  <c r="N142" i="1"/>
  <c r="N598" i="1"/>
  <c r="N688" i="1"/>
  <c r="N613" i="1"/>
  <c r="N71" i="1"/>
  <c r="N808" i="1"/>
  <c r="N2" i="1"/>
  <c r="N754" i="1"/>
  <c r="N553" i="1"/>
  <c r="N788" i="1"/>
  <c r="N195" i="1"/>
  <c r="N641" i="1"/>
  <c r="N809" i="1"/>
  <c r="N716" i="1"/>
  <c r="N220" i="1"/>
  <c r="N952" i="1"/>
  <c r="N892" i="1"/>
  <c r="N143" i="1"/>
  <c r="N259" i="1"/>
  <c r="N700" i="1"/>
  <c r="N442" i="1"/>
  <c r="N18" i="1"/>
  <c r="N614" i="1"/>
  <c r="N384" i="1"/>
  <c r="N739" i="1"/>
  <c r="N701" i="1"/>
  <c r="N430" i="1"/>
  <c r="N642" i="1"/>
  <c r="N385" i="1"/>
  <c r="N660" i="1"/>
  <c r="N242" i="1"/>
  <c r="N178" i="1"/>
  <c r="N845" i="1"/>
  <c r="N627" i="1"/>
  <c r="N374" i="1"/>
  <c r="N717" i="1"/>
  <c r="N643" i="1"/>
  <c r="N567" i="1"/>
  <c r="N755" i="1"/>
  <c r="N826" i="1"/>
  <c r="N789" i="1"/>
  <c r="N386" i="1"/>
  <c r="N387" i="1"/>
  <c r="N404" i="1"/>
  <c r="N388" i="1"/>
  <c r="N32" i="1"/>
  <c r="N846" i="1"/>
  <c r="N341" i="1"/>
  <c r="N478" i="1"/>
  <c r="N923" i="1"/>
  <c r="N221" i="1"/>
  <c r="N277" i="1"/>
  <c r="N298" i="1"/>
  <c r="N847" i="1"/>
  <c r="N599" i="1"/>
  <c r="N405" i="1"/>
  <c r="N209" i="1"/>
  <c r="N554" i="1"/>
  <c r="N406" i="1"/>
  <c r="N144" i="1"/>
  <c r="N61" i="1"/>
  <c r="N375" i="1"/>
  <c r="N278" i="1"/>
  <c r="N810" i="1"/>
  <c r="N811" i="1"/>
  <c r="N19" i="1"/>
  <c r="N196" i="1"/>
  <c r="N243" i="1"/>
  <c r="N179" i="1"/>
  <c r="N568" i="1"/>
  <c r="N62" i="1"/>
  <c r="N457" i="1"/>
  <c r="N389" i="1"/>
  <c r="N540" i="1"/>
  <c r="N812" i="1"/>
  <c r="N924" i="1"/>
  <c r="N376" i="1"/>
  <c r="N848" i="1"/>
  <c r="N644" i="1"/>
  <c r="N180" i="1"/>
  <c r="N122" i="1"/>
  <c r="N797" i="1"/>
  <c r="N145" i="1"/>
  <c r="N798" i="1"/>
  <c r="N661" i="1"/>
  <c r="N555" i="1"/>
  <c r="N44" i="1"/>
  <c r="N45" i="1"/>
  <c r="N645" i="1"/>
  <c r="N615" i="1"/>
  <c r="N799" i="1"/>
  <c r="N197" i="1"/>
  <c r="N198" i="1"/>
  <c r="N893" i="1"/>
  <c r="N279" i="1"/>
  <c r="N953" i="1"/>
  <c r="N105" i="1"/>
  <c r="N146" i="1"/>
  <c r="N496" i="1"/>
  <c r="N894" i="1"/>
  <c r="N313" i="1"/>
  <c r="N299" i="1"/>
  <c r="N63" i="1"/>
  <c r="N165" i="1"/>
  <c r="N580" i="1"/>
  <c r="N954" i="1"/>
  <c r="N260" i="1"/>
  <c r="N646" i="1"/>
  <c r="N360" i="1"/>
  <c r="N907" i="1"/>
  <c r="N361" i="1"/>
  <c r="N718" i="1"/>
  <c r="N719" i="1"/>
  <c r="N431" i="1"/>
  <c r="N181" i="1"/>
  <c r="N244" i="1"/>
  <c r="N702" i="1"/>
  <c r="N859" i="1"/>
  <c r="N182" i="1"/>
  <c r="N740" i="1"/>
  <c r="N123" i="1"/>
  <c r="N876" i="1"/>
  <c r="N541" i="1"/>
  <c r="N756" i="1"/>
  <c r="N407" i="1"/>
  <c r="N908" i="1"/>
  <c r="N689" i="1"/>
  <c r="N497" i="1"/>
  <c r="N443" i="1"/>
  <c r="N342" i="1"/>
  <c r="N877" i="1"/>
  <c r="N955" i="1"/>
  <c r="N676" i="1"/>
  <c r="N628" i="1"/>
  <c r="N300" i="1"/>
  <c r="N458" i="1"/>
  <c r="N408" i="1"/>
  <c r="N280" i="1"/>
  <c r="N827" i="1"/>
  <c r="N166" i="1"/>
  <c r="N33" i="1"/>
  <c r="N87" i="1"/>
  <c r="N147" i="1"/>
  <c r="N20" i="1"/>
  <c r="N432" i="1"/>
  <c r="N771" i="1"/>
  <c r="N261" i="1"/>
  <c r="N860" i="1"/>
  <c r="N647" i="1"/>
  <c r="N459" i="1"/>
  <c r="N88" i="1"/>
  <c r="N167" i="1"/>
  <c r="N148" i="1"/>
  <c r="N21" i="1"/>
  <c r="N89" i="1"/>
  <c r="N72" i="1"/>
  <c r="N46" i="1"/>
  <c r="N314" i="1"/>
  <c r="N662" i="1"/>
  <c r="N800" i="1"/>
  <c r="N390" i="1"/>
  <c r="N315" i="1"/>
  <c r="N690" i="1"/>
  <c r="N861" i="1"/>
  <c r="N409" i="1"/>
  <c r="N600" i="1"/>
  <c r="N663" i="1"/>
  <c r="N245" i="1"/>
  <c r="N222" i="1"/>
  <c r="N828" i="1"/>
  <c r="N878" i="1"/>
  <c r="N90" i="1"/>
  <c r="N629" i="1"/>
  <c r="N757" i="1"/>
  <c r="N720" i="1"/>
  <c r="N47" i="1"/>
  <c r="N91" i="1"/>
  <c r="N223" i="1"/>
  <c r="N281" i="1"/>
  <c r="N772" i="1"/>
  <c r="N829" i="1"/>
  <c r="N909" i="1"/>
  <c r="N581" i="1"/>
  <c r="N262" i="1"/>
  <c r="N433" i="1"/>
  <c r="N124" i="1"/>
  <c r="N224" i="1"/>
  <c r="N569" i="1"/>
  <c r="N505" i="1"/>
  <c r="N48" i="1"/>
  <c r="N630" i="1"/>
  <c r="N49" i="1"/>
  <c r="N92" i="1"/>
  <c r="N22" i="1"/>
  <c r="N434" i="1"/>
  <c r="N519" i="1"/>
  <c r="N316" i="1"/>
  <c r="N895" i="1"/>
  <c r="N498" i="1"/>
  <c r="N691" i="1"/>
  <c r="N896" i="1"/>
  <c r="N183" i="1"/>
  <c r="N93" i="1"/>
  <c r="N225" i="1"/>
  <c r="N570" i="1"/>
  <c r="N582" i="1"/>
  <c r="N460" i="1"/>
  <c r="N956" i="1"/>
  <c r="N830" i="1"/>
  <c r="N941" i="1"/>
  <c r="N601" i="1"/>
  <c r="N64" i="1"/>
  <c r="N125" i="1"/>
  <c r="N317" i="1"/>
  <c r="N410" i="1"/>
  <c r="N318" i="1"/>
  <c r="N831" i="1"/>
  <c r="N721" i="1"/>
  <c r="N23" i="1"/>
  <c r="N692" i="1"/>
  <c r="N693" i="1"/>
  <c r="N319" i="1"/>
  <c r="N664" i="1"/>
  <c r="N106" i="1"/>
  <c r="N246" i="1"/>
  <c r="N391" i="1"/>
  <c r="N542" i="1"/>
  <c r="N168" i="1"/>
  <c r="N343" i="1"/>
  <c r="N520" i="1"/>
  <c r="N571" i="1"/>
  <c r="N897" i="1"/>
  <c r="N34" i="1"/>
  <c r="N521" i="1"/>
  <c r="N73" i="1"/>
  <c r="N149" i="1"/>
  <c r="N898" i="1"/>
  <c r="N226" i="1"/>
  <c r="N479" i="1"/>
  <c r="N94" i="1"/>
  <c r="N879" i="1"/>
  <c r="N677" i="1"/>
  <c r="N199" i="1"/>
  <c r="N957" i="1"/>
  <c r="N320" i="1"/>
  <c r="N572" i="1"/>
  <c r="N377" i="1"/>
  <c r="N150" i="1"/>
  <c r="N925" i="1"/>
  <c r="N50" i="1"/>
  <c r="N247" i="1"/>
  <c r="N107" i="1"/>
  <c r="N35" i="1"/>
  <c r="N862" i="1"/>
  <c r="N435" i="1"/>
  <c r="N722" i="1"/>
  <c r="N616" i="1"/>
  <c r="N248" i="1"/>
  <c r="N832" i="1"/>
  <c r="N583" i="1"/>
  <c r="N723" i="1"/>
  <c r="N378" i="1"/>
  <c r="N758" i="1"/>
  <c r="N108" i="1"/>
  <c r="N703" i="1"/>
  <c r="N95" i="1"/>
  <c r="N648" i="1"/>
  <c r="N724" i="1"/>
  <c r="N522" i="1"/>
  <c r="N704" i="1"/>
  <c r="N227" i="1"/>
  <c r="N228" i="1"/>
  <c r="N151" i="1"/>
  <c r="N36" i="1"/>
  <c r="N910" i="1"/>
  <c r="N759" i="1"/>
  <c r="N321" i="1"/>
  <c r="N444" i="1"/>
  <c r="N480" i="1"/>
  <c r="N152" i="1"/>
  <c r="N109" i="1"/>
  <c r="N65" i="1"/>
  <c r="N344" i="1"/>
  <c r="N773" i="1"/>
  <c r="N523" i="1"/>
  <c r="N741" i="1"/>
  <c r="N556" i="1"/>
  <c r="N263" i="1"/>
  <c r="N392" i="1"/>
  <c r="N461" i="1"/>
  <c r="N774" i="1"/>
  <c r="N775" i="1"/>
  <c r="N631" i="1"/>
  <c r="N705" i="1"/>
  <c r="N462" i="1"/>
  <c r="N649" i="1"/>
  <c r="N524" i="1"/>
  <c r="N463" i="1"/>
  <c r="N525" i="1"/>
  <c r="N411" i="1"/>
  <c r="N557" i="1"/>
  <c r="N126" i="1"/>
  <c r="N706" i="1"/>
  <c r="N506" i="1"/>
  <c r="N345" i="1"/>
  <c r="N911" i="1"/>
  <c r="N264" i="1"/>
  <c r="N742" i="1"/>
  <c r="N665" i="1"/>
  <c r="N926" i="1"/>
  <c r="N573" i="1"/>
  <c r="N602" i="1"/>
  <c r="N249" i="1"/>
  <c r="N51" i="1"/>
  <c r="N322" i="1"/>
  <c r="N445" i="1"/>
  <c r="N24" i="1"/>
  <c r="N927" i="1"/>
  <c r="N362" i="1"/>
  <c r="N446" i="1"/>
  <c r="N323" i="1"/>
  <c r="N543" i="1"/>
  <c r="N301" i="1"/>
  <c r="N25" i="1"/>
  <c r="N229" i="1"/>
  <c r="N603" i="1"/>
  <c r="N632" i="1"/>
  <c r="N282" i="1"/>
  <c r="N363" i="1"/>
  <c r="N346" i="1"/>
  <c r="N127" i="1"/>
  <c r="N813" i="1"/>
  <c r="N96" i="1"/>
  <c r="N464" i="1"/>
  <c r="N958" i="1"/>
  <c r="N899" i="1"/>
  <c r="N230" i="1"/>
  <c r="N3" i="1"/>
  <c r="N707" i="1"/>
  <c r="N110" i="1"/>
  <c r="N743" i="1"/>
  <c r="N364" i="1"/>
  <c r="N776" i="1"/>
  <c r="N725" i="1"/>
  <c r="N790" i="1"/>
  <c r="N499" i="1"/>
  <c r="N526" i="1"/>
  <c r="N584" i="1"/>
  <c r="N265" i="1"/>
  <c r="N544" i="1"/>
  <c r="N74" i="1"/>
  <c r="N959" i="1"/>
  <c r="N412" i="1"/>
  <c r="N128" i="1"/>
  <c r="N111" i="1"/>
  <c r="N960" i="1"/>
  <c r="N393" i="1"/>
  <c r="N500" i="1"/>
  <c r="N880" i="1"/>
  <c r="N210" i="1"/>
  <c r="N365" i="1"/>
  <c r="N558" i="1"/>
  <c r="N633" i="1"/>
  <c r="N849" i="1"/>
  <c r="N928" i="1"/>
  <c r="N863" i="1"/>
  <c r="N881" i="1"/>
  <c r="N200" i="1"/>
  <c r="N585" i="1"/>
  <c r="N559" i="1"/>
  <c r="N586" i="1"/>
  <c r="N777" i="1"/>
  <c r="N634" i="1"/>
  <c r="N666" i="1"/>
  <c r="N882" i="1"/>
  <c r="N324" i="1"/>
  <c r="N436" i="1"/>
  <c r="N37" i="1"/>
  <c r="N726" i="1"/>
  <c r="N52" i="1"/>
  <c r="N961" i="1"/>
  <c r="N38" i="1"/>
  <c r="N833" i="1"/>
  <c r="N864" i="1"/>
  <c r="N447" i="1"/>
  <c r="N413" i="1"/>
  <c r="N153" i="1"/>
  <c r="N414" i="1"/>
  <c r="N154" i="1"/>
  <c r="N250" i="1"/>
  <c r="N481" i="1"/>
  <c r="N211" i="1"/>
  <c r="N465" i="1"/>
  <c r="N184" i="1"/>
  <c r="N39" i="1"/>
  <c r="N26" i="1"/>
  <c r="N900" i="1"/>
  <c r="N27" i="1"/>
  <c r="N482" i="1"/>
  <c r="N212" i="1"/>
  <c r="N678" i="1"/>
  <c r="N501" i="1"/>
  <c r="N617" i="1"/>
  <c r="N283" i="1"/>
  <c r="N251" i="1"/>
  <c r="N727" i="1"/>
  <c r="N635" i="1"/>
  <c r="N587" i="1"/>
  <c r="N112" i="1"/>
  <c r="N679" i="1"/>
  <c r="N53" i="1"/>
  <c r="N169" i="1"/>
  <c r="N507" i="1"/>
  <c r="N618" i="1"/>
  <c r="N284" i="1"/>
  <c r="N850" i="1"/>
  <c r="N814" i="1"/>
  <c r="N252" i="1"/>
  <c r="N604" i="1"/>
  <c r="N708" i="1"/>
  <c r="N129" i="1"/>
  <c r="N437" i="1"/>
  <c r="N366" i="1"/>
  <c r="N667" i="1"/>
  <c r="N962" i="1"/>
  <c r="N883" i="1"/>
  <c r="N201" i="1"/>
  <c r="N728" i="1"/>
  <c r="N415" i="1"/>
  <c r="N75" i="1"/>
  <c r="N760" i="1"/>
  <c r="N778" i="1"/>
  <c r="N202" i="1"/>
  <c r="N729" i="1"/>
  <c r="N466" i="1"/>
  <c r="N347" i="1"/>
  <c r="N574" i="1"/>
  <c r="N508" i="1"/>
  <c r="N348" i="1"/>
  <c r="N185" i="1"/>
  <c r="N744" i="1"/>
  <c r="N942" i="1"/>
  <c r="N527" i="1"/>
  <c r="N4" i="1"/>
  <c r="N668" i="1"/>
  <c r="N502" i="1"/>
  <c r="N130" i="1"/>
  <c r="N302" i="1"/>
  <c r="N761" i="1"/>
  <c r="N884" i="1"/>
  <c r="N963" i="1"/>
  <c r="N943" i="1"/>
  <c r="N131" i="1"/>
  <c r="N416" i="1"/>
  <c r="N97" i="1"/>
  <c r="N912" i="1"/>
  <c r="N213" i="1"/>
  <c r="N865" i="1"/>
  <c r="N170" i="1"/>
  <c r="N448" i="1"/>
  <c r="N231" i="1"/>
  <c r="N132" i="1"/>
  <c r="N834" i="1"/>
  <c r="N851" i="1"/>
  <c r="N349" i="1"/>
  <c r="N866" i="1"/>
  <c r="N528" i="1"/>
  <c r="N801" i="1"/>
  <c r="N113" i="1"/>
  <c r="N155" i="1"/>
  <c r="N560" i="1"/>
  <c r="N253" i="1"/>
  <c r="N901" i="1"/>
  <c r="N964" i="1"/>
  <c r="N902" i="1"/>
  <c r="N745" i="1"/>
  <c r="N449" i="1"/>
  <c r="N636" i="1"/>
  <c r="N266" i="1"/>
  <c r="N450" i="1"/>
  <c r="N156" i="1"/>
  <c r="N709" i="1"/>
  <c r="N650" i="1"/>
  <c r="N588" i="1"/>
  <c r="N40" i="1"/>
  <c r="N730" i="1"/>
  <c r="N867" i="1"/>
  <c r="N589" i="1"/>
  <c r="N710" i="1"/>
  <c r="N637" i="1"/>
  <c r="N114" i="1"/>
  <c r="N76" i="1"/>
  <c r="N669" i="1"/>
  <c r="N115" i="1"/>
  <c r="N28" i="1"/>
  <c r="N157" i="1"/>
  <c r="N885" i="1"/>
  <c r="N116" i="1"/>
  <c r="N267" i="1"/>
  <c r="N545" i="1"/>
  <c r="N619" i="1"/>
  <c r="N529" i="1"/>
  <c r="N546" i="1"/>
  <c r="N605" i="1"/>
  <c r="N171" i="1"/>
  <c r="N835" i="1"/>
  <c r="N731" i="1"/>
  <c r="N483" i="1"/>
  <c r="N467" i="1"/>
  <c r="N285" i="1"/>
  <c r="N791" i="1"/>
  <c r="N575" i="1"/>
  <c r="N367" i="1"/>
  <c r="N5" i="1"/>
  <c r="N468" i="1"/>
  <c r="N779" i="1"/>
  <c r="N232" i="1"/>
  <c r="N606" i="1"/>
  <c r="N417" i="1"/>
  <c r="N620" i="1"/>
  <c r="N66" i="1"/>
  <c r="N233" i="1"/>
  <c r="N576" i="1"/>
  <c r="N438" i="1"/>
  <c r="N561" i="1"/>
  <c r="N509" i="1"/>
  <c r="N510" i="1"/>
  <c r="N680" i="1"/>
  <c r="N944" i="1"/>
  <c r="N325" i="1"/>
  <c r="N469" i="1"/>
  <c r="N802" i="1"/>
  <c r="N746" i="1"/>
  <c r="N762" i="1"/>
  <c r="N286" i="1"/>
  <c r="N868" i="1"/>
  <c r="N186" i="1"/>
  <c r="N711" i="1"/>
  <c r="N287" i="1"/>
  <c r="N577" i="1"/>
  <c r="N187" i="1"/>
  <c r="N133" i="1"/>
  <c r="N451" i="1"/>
  <c r="N869" i="1"/>
  <c r="N929" i="1"/>
  <c r="N350" i="1"/>
  <c r="N394" i="1"/>
  <c r="N870" i="1"/>
  <c r="N621" i="1"/>
  <c r="N651" i="1"/>
  <c r="N288" i="1"/>
  <c r="N172" i="1"/>
  <c r="N351" i="1"/>
  <c r="N6" i="1"/>
  <c r="N268" i="1"/>
  <c r="N254" i="1"/>
  <c r="N255" i="1"/>
  <c r="N670" i="1"/>
  <c r="N326" i="1"/>
  <c r="N930" i="1"/>
  <c r="N763" i="1"/>
  <c r="N511" i="1"/>
  <c r="N913" i="1"/>
  <c r="N41" i="1"/>
  <c r="N303" i="1"/>
  <c r="N304" i="1"/>
  <c r="N395" i="1"/>
  <c r="N7" i="1"/>
  <c r="N836" i="1"/>
  <c r="N8" i="1"/>
  <c r="N512" i="1"/>
  <c r="N327" i="1"/>
  <c r="N418" i="1"/>
  <c r="N562" i="1"/>
  <c r="N764" i="1"/>
  <c r="N484" i="1"/>
  <c r="N815" i="1"/>
  <c r="N234" i="1"/>
  <c r="N886" i="1"/>
  <c r="N837" i="1"/>
  <c r="N352" i="1"/>
  <c r="N485" i="1"/>
  <c r="N158" i="1"/>
  <c r="N470" i="1"/>
  <c r="N887" i="1"/>
  <c r="N965" i="1"/>
  <c r="N98" i="1"/>
  <c r="N607" i="1"/>
  <c r="N803" i="1"/>
  <c r="N67" i="1"/>
  <c r="N29" i="1"/>
  <c r="N804" i="1"/>
  <c r="N117" i="1"/>
  <c r="N134" i="1"/>
  <c r="N135" i="1"/>
  <c r="N780" i="1"/>
  <c r="N563" i="1"/>
  <c r="N966" i="1"/>
  <c r="N118" i="1"/>
  <c r="N871" i="1"/>
  <c r="N77" i="1"/>
  <c r="N945" i="1"/>
  <c r="N188" i="1"/>
  <c r="N54" i="1"/>
  <c r="N590" i="1"/>
  <c r="N564" i="1"/>
  <c r="N530" i="1"/>
  <c r="N747" i="1"/>
  <c r="N269" i="1"/>
  <c r="N967" i="1"/>
  <c r="N914" i="1"/>
  <c r="N419" i="1"/>
  <c r="N368" i="1"/>
  <c r="N838" i="1"/>
  <c r="N353" i="1"/>
  <c r="N547" i="1"/>
  <c r="N839" i="1"/>
  <c r="N78" i="1"/>
  <c r="N9" i="1"/>
  <c r="N439" i="1"/>
  <c r="N946" i="1"/>
  <c r="N379" i="1"/>
  <c r="N712" i="1"/>
  <c r="N622" i="1"/>
  <c r="N608" i="1"/>
  <c r="N354" i="1"/>
  <c r="N765" i="1"/>
  <c r="N328" i="1"/>
  <c r="N30" i="1"/>
  <c r="N235" i="1"/>
  <c r="N486" i="1"/>
  <c r="N270" i="1"/>
  <c r="N487" i="1"/>
  <c r="N488" i="1"/>
  <c r="N471" i="1"/>
  <c r="N79" i="1"/>
  <c r="N236" i="1"/>
  <c r="N652" i="1"/>
  <c r="N99" i="1"/>
  <c r="N256" i="1"/>
  <c r="N369" i="1"/>
  <c r="N591" i="1"/>
  <c r="N68" i="1"/>
  <c r="N531" i="1"/>
  <c r="N748" i="1"/>
  <c r="N396" i="1"/>
  <c r="N173" i="1"/>
  <c r="N55" i="1"/>
  <c r="N548" i="1"/>
  <c r="N289" i="1"/>
  <c r="N503" i="1"/>
  <c r="N370" i="1"/>
  <c r="N371" i="1"/>
  <c r="N931" i="1"/>
  <c r="N136" i="1"/>
  <c r="N932" i="1"/>
  <c r="N159" i="1"/>
  <c r="N10" i="1"/>
  <c r="N329" i="1"/>
  <c r="N888" i="1"/>
  <c r="N947" i="1"/>
  <c r="N532" i="1"/>
  <c r="N816" i="1"/>
  <c r="N805" i="1"/>
  <c r="N380" i="1"/>
  <c r="N489" i="1"/>
  <c r="N903" i="1"/>
  <c r="N11" i="1"/>
  <c r="N623" i="1"/>
  <c r="N609" i="1"/>
  <c r="N355" i="1"/>
  <c r="N565" i="1"/>
  <c r="N80" i="1"/>
  <c r="N817" i="1"/>
  <c r="N452" i="1"/>
  <c r="N290" i="1"/>
  <c r="N732" i="1"/>
  <c r="N968" i="1"/>
  <c r="N749" i="1"/>
  <c r="N397" i="1"/>
  <c r="N420" i="1"/>
  <c r="N472" i="1"/>
  <c r="N806" i="1"/>
  <c r="N653" i="1"/>
  <c r="N654" i="1"/>
  <c r="N330" i="1"/>
  <c r="N840" i="1"/>
  <c r="N237" i="1"/>
  <c r="N174" i="1"/>
  <c r="N271" i="1"/>
  <c r="N291" i="1"/>
  <c r="N733" i="1"/>
  <c r="N203" i="1"/>
  <c r="N933" i="1"/>
  <c r="N305" i="1"/>
  <c r="N713" i="1"/>
  <c r="N948" i="1"/>
  <c r="N694" i="1"/>
  <c r="N818" i="1"/>
  <c r="N841" i="1"/>
  <c r="N792" i="1"/>
  <c r="N421" i="1"/>
  <c r="N934" i="1"/>
  <c r="N915" i="1"/>
  <c r="N750" i="1"/>
  <c r="N214" i="1"/>
  <c r="N100" i="1"/>
  <c r="N592" i="1"/>
  <c r="N655" i="1"/>
  <c r="N398" i="1"/>
  <c r="N189" i="1"/>
  <c r="N916" i="1"/>
  <c r="N852" i="1"/>
  <c r="N949" i="1"/>
  <c r="N917" i="1"/>
  <c r="N593" i="1"/>
  <c r="N215" i="1"/>
  <c r="N695" i="1"/>
  <c r="N807" i="1"/>
  <c r="N292" i="1"/>
  <c r="N681" i="1"/>
  <c r="N656" i="1"/>
  <c r="N969" i="1"/>
  <c r="N293" i="1"/>
  <c r="N440" i="1"/>
  <c r="N204" i="1"/>
  <c r="N381" i="1"/>
  <c r="N889" i="1"/>
  <c r="N422" i="1"/>
  <c r="N238" i="1"/>
  <c r="N682" i="1"/>
  <c r="N842" i="1"/>
  <c r="N399" i="1"/>
  <c r="N671" i="1"/>
  <c r="N453" i="1"/>
  <c r="N549" i="1"/>
  <c r="N843" i="1"/>
  <c r="N696" i="1"/>
  <c r="N69" i="1"/>
  <c r="N306" i="1"/>
  <c r="N473" i="1"/>
  <c r="N356" i="1"/>
  <c r="N513" i="1"/>
  <c r="N294" i="1"/>
  <c r="N331" i="1"/>
  <c r="N307" i="1"/>
  <c r="N970" i="1"/>
  <c r="N734" i="1"/>
  <c r="N31" i="1"/>
  <c r="N239" i="1"/>
  <c r="N853" i="1"/>
  <c r="N56" i="1"/>
  <c r="N454" i="1"/>
  <c r="N490" i="1"/>
  <c r="N190" i="1"/>
  <c r="N566" i="1"/>
  <c r="N935" i="1"/>
  <c r="N57" i="1"/>
  <c r="N474" i="1"/>
  <c r="N257" i="1"/>
  <c r="N781" i="1"/>
  <c r="N101" i="1"/>
  <c r="N205" i="1"/>
  <c r="N102" i="1"/>
  <c r="N272" i="1"/>
  <c r="N504" i="1"/>
  <c r="N594" i="1"/>
  <c r="N735" i="1"/>
  <c r="N42" i="1"/>
  <c r="N332" i="1"/>
  <c r="N137" i="1"/>
  <c r="N81" i="1"/>
  <c r="N12" i="1"/>
  <c r="N793" i="1"/>
  <c r="N160" i="1"/>
  <c r="N273" i="1"/>
  <c r="N844" i="1"/>
  <c r="N533" i="1"/>
  <c r="N872" i="1"/>
  <c r="N240" i="1"/>
  <c r="N904" i="1"/>
  <c r="N372" i="1"/>
  <c r="N550" i="1"/>
  <c r="N782" i="1"/>
  <c r="N295" i="1"/>
  <c r="N514" i="1"/>
  <c r="N357" i="1"/>
  <c r="N400" i="1"/>
  <c r="N161" i="1"/>
  <c r="N714" i="1"/>
  <c r="N766" i="1"/>
  <c r="N13" i="1"/>
  <c r="N578" i="1"/>
  <c r="N595" i="1"/>
  <c r="N579" i="1"/>
  <c r="N854" i="1"/>
  <c r="N423" i="1"/>
  <c r="N58" i="1"/>
  <c r="N596" i="1"/>
  <c r="N119" i="1"/>
  <c r="N657" i="1"/>
  <c r="N162" i="1"/>
  <c r="N216" i="1"/>
  <c r="N819" i="1"/>
  <c r="N191" i="1"/>
  <c r="N672" i="1"/>
  <c r="N751" i="1"/>
  <c r="N515" i="1"/>
  <c r="N14" i="1"/>
  <c r="N783" i="1"/>
  <c r="N918" i="1"/>
  <c r="N767" i="1"/>
  <c r="N873" i="1"/>
  <c r="N491" i="1"/>
  <c r="N138" i="1"/>
  <c r="N936" i="1"/>
  <c r="N175" i="1"/>
  <c r="N638" i="1"/>
  <c r="N534" i="1"/>
  <c r="N715" i="1"/>
  <c r="N919" i="1"/>
  <c r="N455" i="1"/>
  <c r="N516" i="1"/>
  <c r="N905" i="1"/>
  <c r="N874" i="1"/>
  <c r="N610" i="1"/>
  <c r="N15" i="1"/>
  <c r="N920" i="1"/>
  <c r="N492" i="1"/>
  <c r="N70" i="1"/>
  <c r="N192" i="1"/>
  <c r="N373" i="1"/>
  <c r="N120" i="1"/>
  <c r="N308" i="1"/>
  <c r="N683" i="1"/>
  <c r="N82" i="1"/>
  <c r="N597" i="1"/>
  <c r="N206" i="1"/>
  <c r="N193" i="1"/>
  <c r="N103" i="1"/>
  <c r="N937" i="1"/>
  <c r="N921" i="1"/>
  <c r="N309" i="1"/>
  <c r="N83" i="1"/>
  <c r="N794" i="1"/>
  <c r="N820" i="1"/>
  <c r="N551" i="1"/>
  <c r="N535" i="1"/>
  <c r="N475" i="1"/>
  <c r="N163" i="1"/>
  <c r="N104" i="1"/>
  <c r="N736" i="1"/>
  <c r="N43" i="1"/>
  <c r="N611" i="1"/>
  <c r="N424" i="1"/>
  <c r="N821" i="1"/>
  <c r="N855" i="1"/>
  <c r="N697" i="1"/>
  <c r="N333" i="1"/>
  <c r="N16" i="1"/>
  <c r="N536" i="1"/>
  <c r="N274" i="1"/>
  <c r="N121" i="1"/>
  <c r="N176" i="1"/>
  <c r="N84" i="1"/>
  <c r="N382" i="1"/>
  <c r="N612" i="1"/>
  <c r="N476" i="1"/>
  <c r="N425" i="1"/>
  <c r="N537" i="1"/>
  <c r="N737" i="1"/>
  <c r="N822" i="1"/>
  <c r="N358" i="1"/>
  <c r="N59" i="1"/>
  <c r="N639" i="1"/>
  <c r="N784" i="1"/>
  <c r="N856" i="1"/>
  <c r="N60" i="1"/>
  <c r="N401" i="1"/>
  <c r="N426" i="1"/>
  <c r="N493" i="1"/>
  <c r="N938" i="1"/>
  <c r="N673" i="1"/>
  <c r="N971" i="1"/>
  <c r="N875" i="1"/>
  <c r="N310" i="1"/>
  <c r="N698" i="1"/>
  <c r="N890" i="1"/>
  <c r="N334" i="1"/>
  <c r="N427" i="1"/>
  <c r="N684" i="1"/>
  <c r="N456" i="1"/>
  <c r="N335" i="1"/>
  <c r="N311" i="1"/>
  <c r="N795" i="1"/>
  <c r="N768" i="1"/>
  <c r="N857" i="1"/>
  <c r="N891" i="1"/>
  <c r="N699" i="1"/>
  <c r="N738" i="1"/>
  <c r="N402" i="1"/>
  <c r="N685" i="1"/>
  <c r="N552" i="1"/>
  <c r="N858" i="1"/>
  <c r="N336" i="1"/>
  <c r="N624" i="1"/>
  <c r="N796" i="1"/>
  <c r="N241" i="1"/>
  <c r="N906" i="1"/>
  <c r="N823" i="1"/>
  <c r="N950" i="1"/>
  <c r="N752" i="1"/>
  <c r="N625" i="1"/>
  <c r="N258" i="1"/>
  <c r="N217" i="1"/>
  <c r="N139" i="1"/>
  <c r="N686" i="1"/>
  <c r="N769" i="1"/>
  <c r="N296" i="1"/>
  <c r="N297" i="1"/>
  <c r="N626" i="1"/>
  <c r="N140" i="1"/>
  <c r="N517" i="1"/>
  <c r="N785" i="1"/>
  <c r="N972" i="1"/>
  <c r="N337" i="1"/>
  <c r="N674" i="1"/>
  <c r="N177" i="1"/>
  <c r="N218" i="1"/>
  <c r="M403" i="1"/>
  <c r="M338" i="1"/>
  <c r="M687" i="1"/>
  <c r="M441" i="1"/>
  <c r="M824" i="1"/>
  <c r="M658" i="1"/>
  <c r="M339" i="1"/>
  <c r="M428" i="1"/>
  <c r="M786" i="1"/>
  <c r="M538" i="1"/>
  <c r="M494" i="1"/>
  <c r="M340" i="1"/>
  <c r="M359" i="1"/>
  <c r="M194" i="1"/>
  <c r="M17" i="1"/>
  <c r="M922" i="1"/>
  <c r="M429" i="1"/>
  <c r="M539" i="1"/>
  <c r="M939" i="1"/>
  <c r="M518" i="1"/>
  <c r="M312" i="1"/>
  <c r="M141" i="1"/>
  <c r="M951" i="1"/>
  <c r="M787" i="1"/>
  <c r="M770" i="1"/>
  <c r="M477" i="1"/>
  <c r="M164" i="1"/>
  <c r="M85" i="1"/>
  <c r="M640" i="1"/>
  <c r="M86" i="1"/>
  <c r="M275" i="1"/>
  <c r="M383" i="1"/>
  <c r="M753" i="1"/>
  <c r="M675" i="1"/>
  <c r="M940" i="1"/>
  <c r="M495" i="1"/>
  <c r="M207" i="1"/>
  <c r="M276" i="1"/>
  <c r="M208" i="1"/>
  <c r="M659" i="1"/>
  <c r="M219" i="1"/>
  <c r="M825" i="1"/>
  <c r="M142" i="1"/>
  <c r="M598" i="1"/>
  <c r="M688" i="1"/>
  <c r="M613" i="1"/>
  <c r="M71" i="1"/>
  <c r="M808" i="1"/>
  <c r="M2" i="1"/>
  <c r="M754" i="1"/>
  <c r="M553" i="1"/>
  <c r="M788" i="1"/>
  <c r="M195" i="1"/>
  <c r="M641" i="1"/>
  <c r="M809" i="1"/>
  <c r="M716" i="1"/>
  <c r="M220" i="1"/>
  <c r="M952" i="1"/>
  <c r="M892" i="1"/>
  <c r="M143" i="1"/>
  <c r="M259" i="1"/>
  <c r="M700" i="1"/>
  <c r="M442" i="1"/>
  <c r="M18" i="1"/>
  <c r="M614" i="1"/>
  <c r="M384" i="1"/>
  <c r="M739" i="1"/>
  <c r="M701" i="1"/>
  <c r="M430" i="1"/>
  <c r="M642" i="1"/>
  <c r="M385" i="1"/>
  <c r="M660" i="1"/>
  <c r="M242" i="1"/>
  <c r="M178" i="1"/>
  <c r="M845" i="1"/>
  <c r="M627" i="1"/>
  <c r="M374" i="1"/>
  <c r="M717" i="1"/>
  <c r="M643" i="1"/>
  <c r="M567" i="1"/>
  <c r="M755" i="1"/>
  <c r="M826" i="1"/>
  <c r="M789" i="1"/>
  <c r="M386" i="1"/>
  <c r="M387" i="1"/>
  <c r="M404" i="1"/>
  <c r="M388" i="1"/>
  <c r="M32" i="1"/>
  <c r="M846" i="1"/>
  <c r="M341" i="1"/>
  <c r="M478" i="1"/>
  <c r="M923" i="1"/>
  <c r="M221" i="1"/>
  <c r="M277" i="1"/>
  <c r="M298" i="1"/>
  <c r="M847" i="1"/>
  <c r="M599" i="1"/>
  <c r="M405" i="1"/>
  <c r="M209" i="1"/>
  <c r="M554" i="1"/>
  <c r="M406" i="1"/>
  <c r="M144" i="1"/>
  <c r="M61" i="1"/>
  <c r="M375" i="1"/>
  <c r="M278" i="1"/>
  <c r="M810" i="1"/>
  <c r="M811" i="1"/>
  <c r="M19" i="1"/>
  <c r="M196" i="1"/>
  <c r="M243" i="1"/>
  <c r="M179" i="1"/>
  <c r="M568" i="1"/>
  <c r="M62" i="1"/>
  <c r="M457" i="1"/>
  <c r="M389" i="1"/>
  <c r="M540" i="1"/>
  <c r="M812" i="1"/>
  <c r="M924" i="1"/>
  <c r="M376" i="1"/>
  <c r="M848" i="1"/>
  <c r="M644" i="1"/>
  <c r="M180" i="1"/>
  <c r="M122" i="1"/>
  <c r="M797" i="1"/>
  <c r="M145" i="1"/>
  <c r="M798" i="1"/>
  <c r="M661" i="1"/>
  <c r="M555" i="1"/>
  <c r="M44" i="1"/>
  <c r="M45" i="1"/>
  <c r="M645" i="1"/>
  <c r="M615" i="1"/>
  <c r="M799" i="1"/>
  <c r="M197" i="1"/>
  <c r="M198" i="1"/>
  <c r="M893" i="1"/>
  <c r="M279" i="1"/>
  <c r="M953" i="1"/>
  <c r="M105" i="1"/>
  <c r="M146" i="1"/>
  <c r="M496" i="1"/>
  <c r="M894" i="1"/>
  <c r="M313" i="1"/>
  <c r="M299" i="1"/>
  <c r="M63" i="1"/>
  <c r="M165" i="1"/>
  <c r="M580" i="1"/>
  <c r="M954" i="1"/>
  <c r="M260" i="1"/>
  <c r="M646" i="1"/>
  <c r="M360" i="1"/>
  <c r="M907" i="1"/>
  <c r="M361" i="1"/>
  <c r="M718" i="1"/>
  <c r="M719" i="1"/>
  <c r="M431" i="1"/>
  <c r="M181" i="1"/>
  <c r="M244" i="1"/>
  <c r="M702" i="1"/>
  <c r="M859" i="1"/>
  <c r="M182" i="1"/>
  <c r="M740" i="1"/>
  <c r="M123" i="1"/>
  <c r="M876" i="1"/>
  <c r="M541" i="1"/>
  <c r="M756" i="1"/>
  <c r="M407" i="1"/>
  <c r="M908" i="1"/>
  <c r="M689" i="1"/>
  <c r="M497" i="1"/>
  <c r="M443" i="1"/>
  <c r="M342" i="1"/>
  <c r="M877" i="1"/>
  <c r="M955" i="1"/>
  <c r="M676" i="1"/>
  <c r="M628" i="1"/>
  <c r="M300" i="1"/>
  <c r="M458" i="1"/>
  <c r="M408" i="1"/>
  <c r="M280" i="1"/>
  <c r="M827" i="1"/>
  <c r="M166" i="1"/>
  <c r="M33" i="1"/>
  <c r="M87" i="1"/>
  <c r="M147" i="1"/>
  <c r="M20" i="1"/>
  <c r="M432" i="1"/>
  <c r="M771" i="1"/>
  <c r="M261" i="1"/>
  <c r="M860" i="1"/>
  <c r="M647" i="1"/>
  <c r="M459" i="1"/>
  <c r="M88" i="1"/>
  <c r="M167" i="1"/>
  <c r="M148" i="1"/>
  <c r="M21" i="1"/>
  <c r="M89" i="1"/>
  <c r="M72" i="1"/>
  <c r="M46" i="1"/>
  <c r="M314" i="1"/>
  <c r="M662" i="1"/>
  <c r="M800" i="1"/>
  <c r="M390" i="1"/>
  <c r="M315" i="1"/>
  <c r="M690" i="1"/>
  <c r="M861" i="1"/>
  <c r="M409" i="1"/>
  <c r="M600" i="1"/>
  <c r="M663" i="1"/>
  <c r="M245" i="1"/>
  <c r="M222" i="1"/>
  <c r="M828" i="1"/>
  <c r="M878" i="1"/>
  <c r="M90" i="1"/>
  <c r="M629" i="1"/>
  <c r="M757" i="1"/>
  <c r="M720" i="1"/>
  <c r="M47" i="1"/>
  <c r="M91" i="1"/>
  <c r="M223" i="1"/>
  <c r="M281" i="1"/>
  <c r="M772" i="1"/>
  <c r="M829" i="1"/>
  <c r="M909" i="1"/>
  <c r="M581" i="1"/>
  <c r="M262" i="1"/>
  <c r="M433" i="1"/>
  <c r="M124" i="1"/>
  <c r="M224" i="1"/>
  <c r="M569" i="1"/>
  <c r="M505" i="1"/>
  <c r="M48" i="1"/>
  <c r="M630" i="1"/>
  <c r="M49" i="1"/>
  <c r="M92" i="1"/>
  <c r="M22" i="1"/>
  <c r="M434" i="1"/>
  <c r="M519" i="1"/>
  <c r="M316" i="1"/>
  <c r="M895" i="1"/>
  <c r="M498" i="1"/>
  <c r="M691" i="1"/>
  <c r="M896" i="1"/>
  <c r="M183" i="1"/>
  <c r="M93" i="1"/>
  <c r="M225" i="1"/>
  <c r="M570" i="1"/>
  <c r="M582" i="1"/>
  <c r="M460" i="1"/>
  <c r="M956" i="1"/>
  <c r="M830" i="1"/>
  <c r="M941" i="1"/>
  <c r="M601" i="1"/>
  <c r="M64" i="1"/>
  <c r="M125" i="1"/>
  <c r="M317" i="1"/>
  <c r="M410" i="1"/>
  <c r="M318" i="1"/>
  <c r="M831" i="1"/>
  <c r="M721" i="1"/>
  <c r="M23" i="1"/>
  <c r="M692" i="1"/>
  <c r="M693" i="1"/>
  <c r="M319" i="1"/>
  <c r="M664" i="1"/>
  <c r="M106" i="1"/>
  <c r="M246" i="1"/>
  <c r="M391" i="1"/>
  <c r="M542" i="1"/>
  <c r="M168" i="1"/>
  <c r="M343" i="1"/>
  <c r="M520" i="1"/>
  <c r="M571" i="1"/>
  <c r="M897" i="1"/>
  <c r="M34" i="1"/>
  <c r="M521" i="1"/>
  <c r="M73" i="1"/>
  <c r="M149" i="1"/>
  <c r="M898" i="1"/>
  <c r="M226" i="1"/>
  <c r="M479" i="1"/>
  <c r="M94" i="1"/>
  <c r="M879" i="1"/>
  <c r="M677" i="1"/>
  <c r="M199" i="1"/>
  <c r="M957" i="1"/>
  <c r="M320" i="1"/>
  <c r="M572" i="1"/>
  <c r="M377" i="1"/>
  <c r="M150" i="1"/>
  <c r="M925" i="1"/>
  <c r="M50" i="1"/>
  <c r="M247" i="1"/>
  <c r="M107" i="1"/>
  <c r="M35" i="1"/>
  <c r="M862" i="1"/>
  <c r="M435" i="1"/>
  <c r="M722" i="1"/>
  <c r="M616" i="1"/>
  <c r="M248" i="1"/>
  <c r="M832" i="1"/>
  <c r="M583" i="1"/>
  <c r="M723" i="1"/>
  <c r="M378" i="1"/>
  <c r="M758" i="1"/>
  <c r="M108" i="1"/>
  <c r="M703" i="1"/>
  <c r="M95" i="1"/>
  <c r="M648" i="1"/>
  <c r="M724" i="1"/>
  <c r="M522" i="1"/>
  <c r="M704" i="1"/>
  <c r="M227" i="1"/>
  <c r="M228" i="1"/>
  <c r="M151" i="1"/>
  <c r="M36" i="1"/>
  <c r="M910" i="1"/>
  <c r="M759" i="1"/>
  <c r="M321" i="1"/>
  <c r="M444" i="1"/>
  <c r="M480" i="1"/>
  <c r="M152" i="1"/>
  <c r="M109" i="1"/>
  <c r="M65" i="1"/>
  <c r="M344" i="1"/>
  <c r="M773" i="1"/>
  <c r="M523" i="1"/>
  <c r="M741" i="1"/>
  <c r="M556" i="1"/>
  <c r="M263" i="1"/>
  <c r="M392" i="1"/>
  <c r="M461" i="1"/>
  <c r="M774" i="1"/>
  <c r="M775" i="1"/>
  <c r="M631" i="1"/>
  <c r="M705" i="1"/>
  <c r="M462" i="1"/>
  <c r="M649" i="1"/>
  <c r="M524" i="1"/>
  <c r="M463" i="1"/>
  <c r="M525" i="1"/>
  <c r="M411" i="1"/>
  <c r="M557" i="1"/>
  <c r="M126" i="1"/>
  <c r="M706" i="1"/>
  <c r="M506" i="1"/>
  <c r="M345" i="1"/>
  <c r="M911" i="1"/>
  <c r="M264" i="1"/>
  <c r="M742" i="1"/>
  <c r="M665" i="1"/>
  <c r="M926" i="1"/>
  <c r="M573" i="1"/>
  <c r="M602" i="1"/>
  <c r="M249" i="1"/>
  <c r="M51" i="1"/>
  <c r="M322" i="1"/>
  <c r="M445" i="1"/>
  <c r="M24" i="1"/>
  <c r="M927" i="1"/>
  <c r="M362" i="1"/>
  <c r="M446" i="1"/>
  <c r="M323" i="1"/>
  <c r="M543" i="1"/>
  <c r="M301" i="1"/>
  <c r="M25" i="1"/>
  <c r="M229" i="1"/>
  <c r="M603" i="1"/>
  <c r="M632" i="1"/>
  <c r="M282" i="1"/>
  <c r="M363" i="1"/>
  <c r="M346" i="1"/>
  <c r="M127" i="1"/>
  <c r="M813" i="1"/>
  <c r="M96" i="1"/>
  <c r="M464" i="1"/>
  <c r="M958" i="1"/>
  <c r="M899" i="1"/>
  <c r="M230" i="1"/>
  <c r="M3" i="1"/>
  <c r="M707" i="1"/>
  <c r="M110" i="1"/>
  <c r="M743" i="1"/>
  <c r="M364" i="1"/>
  <c r="M776" i="1"/>
  <c r="M725" i="1"/>
  <c r="M790" i="1"/>
  <c r="M499" i="1"/>
  <c r="M526" i="1"/>
  <c r="M584" i="1"/>
  <c r="M265" i="1"/>
  <c r="M544" i="1"/>
  <c r="M74" i="1"/>
  <c r="M959" i="1"/>
  <c r="M412" i="1"/>
  <c r="M128" i="1"/>
  <c r="M111" i="1"/>
  <c r="M960" i="1"/>
  <c r="M393" i="1"/>
  <c r="M500" i="1"/>
  <c r="M880" i="1"/>
  <c r="M210" i="1"/>
  <c r="M365" i="1"/>
  <c r="M558" i="1"/>
  <c r="M633" i="1"/>
  <c r="M849" i="1"/>
  <c r="M928" i="1"/>
  <c r="M863" i="1"/>
  <c r="M881" i="1"/>
  <c r="M200" i="1"/>
  <c r="M585" i="1"/>
  <c r="M559" i="1"/>
  <c r="M586" i="1"/>
  <c r="M777" i="1"/>
  <c r="M634" i="1"/>
  <c r="M666" i="1"/>
  <c r="M882" i="1"/>
  <c r="M324" i="1"/>
  <c r="M436" i="1"/>
  <c r="M37" i="1"/>
  <c r="M726" i="1"/>
  <c r="M52" i="1"/>
  <c r="M961" i="1"/>
  <c r="M38" i="1"/>
  <c r="M833" i="1"/>
  <c r="M864" i="1"/>
  <c r="M447" i="1"/>
  <c r="M413" i="1"/>
  <c r="M153" i="1"/>
  <c r="M414" i="1"/>
  <c r="M154" i="1"/>
  <c r="M250" i="1"/>
  <c r="M481" i="1"/>
  <c r="M211" i="1"/>
  <c r="M465" i="1"/>
  <c r="M184" i="1"/>
  <c r="M39" i="1"/>
  <c r="M26" i="1"/>
  <c r="M900" i="1"/>
  <c r="M27" i="1"/>
  <c r="M482" i="1"/>
  <c r="M212" i="1"/>
  <c r="M678" i="1"/>
  <c r="M501" i="1"/>
  <c r="M617" i="1"/>
  <c r="M283" i="1"/>
  <c r="M251" i="1"/>
  <c r="M727" i="1"/>
  <c r="M635" i="1"/>
  <c r="M587" i="1"/>
  <c r="M112" i="1"/>
  <c r="M679" i="1"/>
  <c r="M53" i="1"/>
  <c r="M169" i="1"/>
  <c r="M507" i="1"/>
  <c r="M618" i="1"/>
  <c r="M284" i="1"/>
  <c r="M850" i="1"/>
  <c r="M814" i="1"/>
  <c r="M252" i="1"/>
  <c r="M604" i="1"/>
  <c r="M708" i="1"/>
  <c r="M129" i="1"/>
  <c r="M437" i="1"/>
  <c r="M366" i="1"/>
  <c r="M667" i="1"/>
  <c r="M962" i="1"/>
  <c r="M883" i="1"/>
  <c r="M201" i="1"/>
  <c r="M728" i="1"/>
  <c r="M415" i="1"/>
  <c r="M75" i="1"/>
  <c r="M760" i="1"/>
  <c r="M778" i="1"/>
  <c r="M202" i="1"/>
  <c r="M729" i="1"/>
  <c r="M466" i="1"/>
  <c r="M347" i="1"/>
  <c r="M574" i="1"/>
  <c r="M508" i="1"/>
  <c r="M348" i="1"/>
  <c r="M185" i="1"/>
  <c r="M744" i="1"/>
  <c r="M942" i="1"/>
  <c r="M527" i="1"/>
  <c r="M4" i="1"/>
  <c r="M668" i="1"/>
  <c r="M502" i="1"/>
  <c r="M130" i="1"/>
  <c r="M302" i="1"/>
  <c r="M761" i="1"/>
  <c r="M884" i="1"/>
  <c r="M963" i="1"/>
  <c r="M943" i="1"/>
  <c r="M131" i="1"/>
  <c r="M416" i="1"/>
  <c r="M97" i="1"/>
  <c r="M912" i="1"/>
  <c r="M213" i="1"/>
  <c r="M865" i="1"/>
  <c r="M170" i="1"/>
  <c r="M448" i="1"/>
  <c r="M231" i="1"/>
  <c r="M132" i="1"/>
  <c r="M834" i="1"/>
  <c r="M851" i="1"/>
  <c r="M349" i="1"/>
  <c r="M866" i="1"/>
  <c r="M528" i="1"/>
  <c r="M801" i="1"/>
  <c r="M113" i="1"/>
  <c r="M155" i="1"/>
  <c r="M560" i="1"/>
  <c r="M253" i="1"/>
  <c r="M901" i="1"/>
  <c r="M964" i="1"/>
  <c r="M902" i="1"/>
  <c r="M745" i="1"/>
  <c r="M449" i="1"/>
  <c r="M636" i="1"/>
  <c r="M266" i="1"/>
  <c r="M450" i="1"/>
  <c r="M156" i="1"/>
  <c r="M709" i="1"/>
  <c r="M650" i="1"/>
  <c r="M588" i="1"/>
  <c r="M40" i="1"/>
  <c r="M730" i="1"/>
  <c r="M867" i="1"/>
  <c r="M589" i="1"/>
  <c r="M710" i="1"/>
  <c r="M637" i="1"/>
  <c r="M114" i="1"/>
  <c r="M76" i="1"/>
  <c r="M669" i="1"/>
  <c r="M115" i="1"/>
  <c r="M28" i="1"/>
  <c r="M157" i="1"/>
  <c r="M885" i="1"/>
  <c r="M116" i="1"/>
  <c r="M267" i="1"/>
  <c r="M545" i="1"/>
  <c r="M619" i="1"/>
  <c r="M529" i="1"/>
  <c r="M546" i="1"/>
  <c r="M605" i="1"/>
  <c r="M171" i="1"/>
  <c r="M835" i="1"/>
  <c r="M731" i="1"/>
  <c r="M483" i="1"/>
  <c r="M467" i="1"/>
  <c r="M285" i="1"/>
  <c r="M791" i="1"/>
  <c r="M575" i="1"/>
  <c r="M367" i="1"/>
  <c r="M5" i="1"/>
  <c r="M468" i="1"/>
  <c r="M779" i="1"/>
  <c r="M232" i="1"/>
  <c r="M606" i="1"/>
  <c r="M417" i="1"/>
  <c r="M620" i="1"/>
  <c r="M66" i="1"/>
  <c r="M233" i="1"/>
  <c r="M576" i="1"/>
  <c r="M438" i="1"/>
  <c r="M561" i="1"/>
  <c r="M509" i="1"/>
  <c r="M510" i="1"/>
  <c r="M680" i="1"/>
  <c r="M944" i="1"/>
  <c r="M325" i="1"/>
  <c r="M469" i="1"/>
  <c r="M802" i="1"/>
  <c r="M746" i="1"/>
  <c r="M762" i="1"/>
  <c r="M286" i="1"/>
  <c r="M868" i="1"/>
  <c r="M186" i="1"/>
  <c r="M711" i="1"/>
  <c r="M287" i="1"/>
  <c r="M577" i="1"/>
  <c r="M187" i="1"/>
  <c r="M133" i="1"/>
  <c r="M451" i="1"/>
  <c r="M869" i="1"/>
  <c r="M929" i="1"/>
  <c r="M350" i="1"/>
  <c r="M394" i="1"/>
  <c r="M870" i="1"/>
  <c r="M621" i="1"/>
  <c r="M651" i="1"/>
  <c r="M288" i="1"/>
  <c r="M172" i="1"/>
  <c r="M351" i="1"/>
  <c r="M6" i="1"/>
  <c r="M268" i="1"/>
  <c r="M254" i="1"/>
  <c r="M255" i="1"/>
  <c r="M670" i="1"/>
  <c r="M326" i="1"/>
  <c r="M930" i="1"/>
  <c r="M763" i="1"/>
  <c r="M511" i="1"/>
  <c r="M913" i="1"/>
  <c r="M41" i="1"/>
  <c r="M303" i="1"/>
  <c r="M304" i="1"/>
  <c r="M395" i="1"/>
  <c r="M7" i="1"/>
  <c r="M836" i="1"/>
  <c r="M8" i="1"/>
  <c r="M512" i="1"/>
  <c r="M327" i="1"/>
  <c r="M418" i="1"/>
  <c r="M562" i="1"/>
  <c r="M764" i="1"/>
  <c r="M484" i="1"/>
  <c r="M815" i="1"/>
  <c r="M234" i="1"/>
  <c r="M886" i="1"/>
  <c r="M837" i="1"/>
  <c r="M352" i="1"/>
  <c r="M485" i="1"/>
  <c r="M158" i="1"/>
  <c r="M470" i="1"/>
  <c r="M887" i="1"/>
  <c r="M965" i="1"/>
  <c r="M98" i="1"/>
  <c r="M607" i="1"/>
  <c r="M803" i="1"/>
  <c r="M67" i="1"/>
  <c r="M29" i="1"/>
  <c r="M804" i="1"/>
  <c r="M117" i="1"/>
  <c r="M134" i="1"/>
  <c r="M135" i="1"/>
  <c r="M780" i="1"/>
  <c r="M563" i="1"/>
  <c r="M966" i="1"/>
  <c r="M118" i="1"/>
  <c r="M871" i="1"/>
  <c r="M77" i="1"/>
  <c r="M945" i="1"/>
  <c r="M188" i="1"/>
  <c r="M54" i="1"/>
  <c r="M590" i="1"/>
  <c r="M564" i="1"/>
  <c r="M530" i="1"/>
  <c r="M747" i="1"/>
  <c r="M269" i="1"/>
  <c r="M967" i="1"/>
  <c r="M914" i="1"/>
  <c r="M419" i="1"/>
  <c r="M368" i="1"/>
  <c r="M838" i="1"/>
  <c r="M353" i="1"/>
  <c r="M547" i="1"/>
  <c r="M839" i="1"/>
  <c r="M78" i="1"/>
  <c r="M9" i="1"/>
  <c r="M439" i="1"/>
  <c r="M946" i="1"/>
  <c r="M379" i="1"/>
  <c r="M712" i="1"/>
  <c r="M622" i="1"/>
  <c r="M608" i="1"/>
  <c r="M354" i="1"/>
  <c r="M765" i="1"/>
  <c r="M328" i="1"/>
  <c r="M30" i="1"/>
  <c r="M235" i="1"/>
  <c r="M486" i="1"/>
  <c r="M270" i="1"/>
  <c r="M487" i="1"/>
  <c r="M488" i="1"/>
  <c r="M471" i="1"/>
  <c r="M79" i="1"/>
  <c r="M236" i="1"/>
  <c r="M652" i="1"/>
  <c r="M99" i="1"/>
  <c r="M256" i="1"/>
  <c r="M369" i="1"/>
  <c r="M591" i="1"/>
  <c r="M68" i="1"/>
  <c r="M531" i="1"/>
  <c r="M748" i="1"/>
  <c r="M396" i="1"/>
  <c r="M173" i="1"/>
  <c r="M55" i="1"/>
  <c r="M548" i="1"/>
  <c r="M289" i="1"/>
  <c r="M503" i="1"/>
  <c r="M370" i="1"/>
  <c r="M371" i="1"/>
  <c r="M931" i="1"/>
  <c r="M136" i="1"/>
  <c r="M932" i="1"/>
  <c r="M159" i="1"/>
  <c r="M10" i="1"/>
  <c r="M329" i="1"/>
  <c r="M888" i="1"/>
  <c r="M947" i="1"/>
  <c r="M532" i="1"/>
  <c r="M816" i="1"/>
  <c r="M805" i="1"/>
  <c r="M380" i="1"/>
  <c r="M489" i="1"/>
  <c r="M903" i="1"/>
  <c r="M11" i="1"/>
  <c r="M623" i="1"/>
  <c r="M609" i="1"/>
  <c r="M355" i="1"/>
  <c r="M565" i="1"/>
  <c r="M80" i="1"/>
  <c r="M817" i="1"/>
  <c r="M452" i="1"/>
  <c r="M290" i="1"/>
  <c r="M732" i="1"/>
  <c r="M968" i="1"/>
  <c r="M749" i="1"/>
  <c r="M397" i="1"/>
  <c r="M420" i="1"/>
  <c r="M472" i="1"/>
  <c r="M806" i="1"/>
  <c r="M653" i="1"/>
  <c r="M654" i="1"/>
  <c r="M330" i="1"/>
  <c r="M840" i="1"/>
  <c r="M237" i="1"/>
  <c r="M174" i="1"/>
  <c r="M271" i="1"/>
  <c r="M291" i="1"/>
  <c r="M733" i="1"/>
  <c r="M203" i="1"/>
  <c r="M933" i="1"/>
  <c r="M305" i="1"/>
  <c r="M713" i="1"/>
  <c r="M948" i="1"/>
  <c r="M694" i="1"/>
  <c r="M818" i="1"/>
  <c r="M841" i="1"/>
  <c r="M792" i="1"/>
  <c r="M421" i="1"/>
  <c r="M934" i="1"/>
  <c r="M915" i="1"/>
  <c r="M750" i="1"/>
  <c r="M214" i="1"/>
  <c r="M100" i="1"/>
  <c r="M592" i="1"/>
  <c r="M655" i="1"/>
  <c r="M398" i="1"/>
  <c r="M189" i="1"/>
  <c r="M916" i="1"/>
  <c r="M852" i="1"/>
  <c r="M949" i="1"/>
  <c r="M917" i="1"/>
  <c r="M593" i="1"/>
  <c r="M215" i="1"/>
  <c r="M695" i="1"/>
  <c r="M807" i="1"/>
  <c r="M292" i="1"/>
  <c r="M681" i="1"/>
  <c r="M656" i="1"/>
  <c r="M969" i="1"/>
  <c r="M293" i="1"/>
  <c r="M440" i="1"/>
  <c r="M204" i="1"/>
  <c r="M381" i="1"/>
  <c r="M889" i="1"/>
  <c r="M422" i="1"/>
  <c r="M238" i="1"/>
  <c r="M682" i="1"/>
  <c r="M842" i="1"/>
  <c r="M399" i="1"/>
  <c r="M671" i="1"/>
  <c r="M453" i="1"/>
  <c r="M549" i="1"/>
  <c r="M843" i="1"/>
  <c r="M696" i="1"/>
  <c r="M69" i="1"/>
  <c r="M306" i="1"/>
  <c r="M473" i="1"/>
  <c r="M356" i="1"/>
  <c r="M513" i="1"/>
  <c r="M294" i="1"/>
  <c r="M331" i="1"/>
  <c r="M307" i="1"/>
  <c r="M970" i="1"/>
  <c r="M734" i="1"/>
  <c r="M31" i="1"/>
  <c r="M239" i="1"/>
  <c r="M853" i="1"/>
  <c r="M56" i="1"/>
  <c r="M454" i="1"/>
  <c r="M490" i="1"/>
  <c r="M190" i="1"/>
  <c r="M566" i="1"/>
  <c r="M935" i="1"/>
  <c r="M57" i="1"/>
  <c r="M474" i="1"/>
  <c r="M257" i="1"/>
  <c r="M781" i="1"/>
  <c r="M101" i="1"/>
  <c r="M205" i="1"/>
  <c r="M102" i="1"/>
  <c r="M272" i="1"/>
  <c r="M504" i="1"/>
  <c r="M594" i="1"/>
  <c r="M735" i="1"/>
  <c r="M42" i="1"/>
  <c r="M332" i="1"/>
  <c r="M137" i="1"/>
  <c r="M81" i="1"/>
  <c r="M12" i="1"/>
  <c r="M793" i="1"/>
  <c r="M160" i="1"/>
  <c r="M273" i="1"/>
  <c r="M844" i="1"/>
  <c r="M533" i="1"/>
  <c r="M872" i="1"/>
  <c r="M240" i="1"/>
  <c r="M904" i="1"/>
  <c r="M372" i="1"/>
  <c r="M550" i="1"/>
  <c r="M782" i="1"/>
  <c r="M295" i="1"/>
  <c r="M514" i="1"/>
  <c r="M357" i="1"/>
  <c r="M400" i="1"/>
  <c r="M161" i="1"/>
  <c r="M714" i="1"/>
  <c r="M766" i="1"/>
  <c r="M13" i="1"/>
  <c r="M578" i="1"/>
  <c r="M595" i="1"/>
  <c r="M579" i="1"/>
  <c r="M854" i="1"/>
  <c r="M423" i="1"/>
  <c r="M58" i="1"/>
  <c r="M596" i="1"/>
  <c r="M119" i="1"/>
  <c r="M657" i="1"/>
  <c r="M162" i="1"/>
  <c r="M216" i="1"/>
  <c r="M819" i="1"/>
  <c r="M191" i="1"/>
  <c r="M672" i="1"/>
  <c r="M751" i="1"/>
  <c r="M515" i="1"/>
  <c r="M14" i="1"/>
  <c r="M783" i="1"/>
  <c r="M918" i="1"/>
  <c r="M767" i="1"/>
  <c r="M873" i="1"/>
  <c r="M491" i="1"/>
  <c r="M138" i="1"/>
  <c r="M936" i="1"/>
  <c r="M175" i="1"/>
  <c r="M638" i="1"/>
  <c r="M534" i="1"/>
  <c r="M715" i="1"/>
  <c r="M919" i="1"/>
  <c r="M455" i="1"/>
  <c r="M516" i="1"/>
  <c r="M905" i="1"/>
  <c r="M874" i="1"/>
  <c r="M610" i="1"/>
  <c r="M15" i="1"/>
  <c r="M920" i="1"/>
  <c r="M492" i="1"/>
  <c r="M70" i="1"/>
  <c r="M192" i="1"/>
  <c r="M373" i="1"/>
  <c r="M120" i="1"/>
  <c r="M308" i="1"/>
  <c r="M683" i="1"/>
  <c r="M82" i="1"/>
  <c r="M597" i="1"/>
  <c r="M206" i="1"/>
  <c r="M193" i="1"/>
  <c r="M103" i="1"/>
  <c r="M937" i="1"/>
  <c r="M921" i="1"/>
  <c r="M309" i="1"/>
  <c r="M83" i="1"/>
  <c r="M794" i="1"/>
  <c r="M820" i="1"/>
  <c r="M551" i="1"/>
  <c r="M535" i="1"/>
  <c r="M475" i="1"/>
  <c r="M163" i="1"/>
  <c r="M104" i="1"/>
  <c r="M736" i="1"/>
  <c r="M43" i="1"/>
  <c r="M611" i="1"/>
  <c r="M424" i="1"/>
  <c r="M821" i="1"/>
  <c r="M855" i="1"/>
  <c r="M697" i="1"/>
  <c r="M333" i="1"/>
  <c r="M16" i="1"/>
  <c r="M536" i="1"/>
  <c r="M274" i="1"/>
  <c r="M121" i="1"/>
  <c r="M176" i="1"/>
  <c r="M84" i="1"/>
  <c r="M382" i="1"/>
  <c r="M612" i="1"/>
  <c r="M476" i="1"/>
  <c r="M425" i="1"/>
  <c r="M537" i="1"/>
  <c r="M737" i="1"/>
  <c r="M822" i="1"/>
  <c r="M358" i="1"/>
  <c r="M59" i="1"/>
  <c r="M639" i="1"/>
  <c r="M784" i="1"/>
  <c r="M856" i="1"/>
  <c r="M60" i="1"/>
  <c r="M401" i="1"/>
  <c r="M426" i="1"/>
  <c r="M493" i="1"/>
  <c r="M938" i="1"/>
  <c r="M673" i="1"/>
  <c r="M971" i="1"/>
  <c r="M875" i="1"/>
  <c r="M310" i="1"/>
  <c r="M698" i="1"/>
  <c r="M890" i="1"/>
  <c r="M334" i="1"/>
  <c r="M427" i="1"/>
  <c r="M684" i="1"/>
  <c r="M456" i="1"/>
  <c r="M335" i="1"/>
  <c r="M311" i="1"/>
  <c r="M795" i="1"/>
  <c r="M768" i="1"/>
  <c r="M857" i="1"/>
  <c r="M891" i="1"/>
  <c r="M699" i="1"/>
  <c r="M738" i="1"/>
  <c r="M402" i="1"/>
  <c r="M685" i="1"/>
  <c r="M552" i="1"/>
  <c r="M858" i="1"/>
  <c r="M336" i="1"/>
  <c r="M624" i="1"/>
  <c r="M796" i="1"/>
  <c r="M241" i="1"/>
  <c r="M906" i="1"/>
  <c r="M823" i="1"/>
  <c r="M950" i="1"/>
  <c r="M752" i="1"/>
  <c r="M625" i="1"/>
  <c r="M258" i="1"/>
  <c r="M217" i="1"/>
  <c r="M139" i="1"/>
  <c r="M686" i="1"/>
  <c r="M769" i="1"/>
  <c r="M296" i="1"/>
  <c r="M297" i="1"/>
  <c r="M626" i="1"/>
  <c r="M140" i="1"/>
  <c r="M517" i="1"/>
  <c r="M785" i="1"/>
  <c r="M972" i="1"/>
  <c r="M337" i="1"/>
  <c r="M674" i="1"/>
  <c r="M177" i="1"/>
  <c r="M218" i="1"/>
</calcChain>
</file>

<file path=xl/sharedStrings.xml><?xml version="1.0" encoding="utf-8"?>
<sst xmlns="http://schemas.openxmlformats.org/spreadsheetml/2006/main" count="5893" uniqueCount="117">
  <si>
    <t>order_id</t>
  </si>
  <si>
    <t>order_date</t>
  </si>
  <si>
    <t>customer_id</t>
  </si>
  <si>
    <t>customer_name</t>
  </si>
  <si>
    <t>region</t>
  </si>
  <si>
    <t>segment</t>
  </si>
  <si>
    <t>product_name</t>
  </si>
  <si>
    <t>category</t>
  </si>
  <si>
    <t>quantity</t>
  </si>
  <si>
    <t>unit_price</t>
  </si>
  <si>
    <t>discount_pct</t>
  </si>
  <si>
    <t>payment_mode</t>
  </si>
  <si>
    <t>Arjun Das</t>
  </si>
  <si>
    <t>West</t>
  </si>
  <si>
    <t>Consumer</t>
  </si>
  <si>
    <t>Tablet</t>
  </si>
  <si>
    <t>Electronics</t>
  </si>
  <si>
    <t>Cash</t>
  </si>
  <si>
    <t>Neha Das</t>
  </si>
  <si>
    <t>Printer</t>
  </si>
  <si>
    <t>Credit Card</t>
  </si>
  <si>
    <t>Sneha Das</t>
  </si>
  <si>
    <t>East</t>
  </si>
  <si>
    <t>Small Business</t>
  </si>
  <si>
    <t>Smartphone</t>
  </si>
  <si>
    <t>Net Banking</t>
  </si>
  <si>
    <t>Kavya Singh</t>
  </si>
  <si>
    <t>Corporate</t>
  </si>
  <si>
    <t>Pooja Reddy</t>
  </si>
  <si>
    <t>North</t>
  </si>
  <si>
    <t>Notebook Pack</t>
  </si>
  <si>
    <t>Stationery</t>
  </si>
  <si>
    <t>Nikhil Patel</t>
  </si>
  <si>
    <t>South</t>
  </si>
  <si>
    <t>Debit Card</t>
  </si>
  <si>
    <t>Rahul Patel</t>
  </si>
  <si>
    <t>Laptop</t>
  </si>
  <si>
    <t>Office Chair</t>
  </si>
  <si>
    <t>Furniture</t>
  </si>
  <si>
    <t>Imran Sharma</t>
  </si>
  <si>
    <t>Desk Lamp</t>
  </si>
  <si>
    <t>Anjali Rao</t>
  </si>
  <si>
    <t>Pen Set</t>
  </si>
  <si>
    <t>UPI</t>
  </si>
  <si>
    <t>Imran Patel</t>
  </si>
  <si>
    <t>Pooja Singh</t>
  </si>
  <si>
    <t>Tara Sharma</t>
  </si>
  <si>
    <t>Manoj Singh</t>
  </si>
  <si>
    <t>Kavya Reddy</t>
  </si>
  <si>
    <t>Anjali Patel</t>
  </si>
  <si>
    <t>Arjun Rao</t>
  </si>
  <si>
    <t>Suresh Das</t>
  </si>
  <si>
    <t>Smartwatch</t>
  </si>
  <si>
    <t>Diya Nair</t>
  </si>
  <si>
    <t>Arjun Khan</t>
  </si>
  <si>
    <t>Headphones</t>
  </si>
  <si>
    <t>Sneha Rao</t>
  </si>
  <si>
    <t>Standing Desk</t>
  </si>
  <si>
    <t>Rahul Rao</t>
  </si>
  <si>
    <t>Diya Khan</t>
  </si>
  <si>
    <t>Karthik Singh</t>
  </si>
  <si>
    <t>Karthik Sharma</t>
  </si>
  <si>
    <t>Vikram Reddy</t>
  </si>
  <si>
    <t>Rahul Reddy</t>
  </si>
  <si>
    <t>Diya Patel</t>
  </si>
  <si>
    <t>Monitor</t>
  </si>
  <si>
    <t>Kavya Das</t>
  </si>
  <si>
    <t>Diya Singh</t>
  </si>
  <si>
    <t>Suresh Singh</t>
  </si>
  <si>
    <t>Suresh Khan</t>
  </si>
  <si>
    <t>Nikhil Khan</t>
  </si>
  <si>
    <t>Neha Patel</t>
  </si>
  <si>
    <t>Tara Das</t>
  </si>
  <si>
    <t>Pooja Sharma</t>
  </si>
  <si>
    <t>Rahul Nair</t>
  </si>
  <si>
    <t>Nikhil Singh</t>
  </si>
  <si>
    <t>Aarav Reddy</t>
  </si>
  <si>
    <t>Meera Singh</t>
  </si>
  <si>
    <t>Isha Singh</t>
  </si>
  <si>
    <t>Rahul Khan</t>
  </si>
  <si>
    <t>Diya Das</t>
  </si>
  <si>
    <t>Tara Khan</t>
  </si>
  <si>
    <t>Isha Patel</t>
  </si>
  <si>
    <t>Imran Reddy</t>
  </si>
  <si>
    <t>Meera Das</t>
  </si>
  <si>
    <t>Manoj Reddy</t>
  </si>
  <si>
    <t>Diya Rao</t>
  </si>
  <si>
    <t>Unknown</t>
  </si>
  <si>
    <t>Revenue</t>
  </si>
  <si>
    <t>Month</t>
  </si>
  <si>
    <t>Row Labels</t>
  </si>
  <si>
    <t>Grand Total</t>
  </si>
  <si>
    <t>Sum of Revenue</t>
  </si>
  <si>
    <t>2025-01</t>
  </si>
  <si>
    <t>2025-02</t>
  </si>
  <si>
    <t>2025-03</t>
  </si>
  <si>
    <t>2025-04</t>
  </si>
  <si>
    <t>2025-05</t>
  </si>
  <si>
    <t>2025-06</t>
  </si>
  <si>
    <t>2025-07</t>
  </si>
  <si>
    <t>2025-08</t>
  </si>
  <si>
    <t>2025-09</t>
  </si>
  <si>
    <t>2025-10</t>
  </si>
  <si>
    <t>2025-11</t>
  </si>
  <si>
    <t>2025-12</t>
  </si>
  <si>
    <t>Total Revenue</t>
  </si>
  <si>
    <t>Total Orders</t>
  </si>
  <si>
    <t>Total Units Sold</t>
  </si>
  <si>
    <t>Average Order Value</t>
  </si>
  <si>
    <t>Key Business Insights.</t>
  </si>
  <si>
    <t>The South region is the leading revenue-generating region in the dataset. The business could examine its successful products, customer segments, and sales strategies to identify practices that may be useful in other regions.</t>
  </si>
  <si>
    <t>Laptops are the top revenue-generating product in the dataset. The business could review laptop sales volume, pricing, discounts, and inventory availability to identify opportunities to sustain performance.</t>
  </si>
  <si>
    <t>Electronics is the leading revenue-generating category. The business could analyze the category's contribution to total revenue and the performance of individual products to guide inventory and sales planning.</t>
  </si>
  <si>
    <t>December 2025 recorded the highest monthly revenue in the dataset. The business could investigate whether promotions, seasonal demand, or changes in product mix contributed to this peak.</t>
  </si>
  <si>
    <t>Product Revenue Lookup</t>
  </si>
  <si>
    <t>Product</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</si>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</sst>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8"/>
      <color theme="1"/>
      <name val="Calibri"/>
      <family val="2"/>
      <scheme val="minor"/>
    </font>
    <font>
      <b/>
      <sz val="16"/>
      <color theme="1"/>
      <name val="Calibri"/>
      <family val="2"/>
      <scheme val="minor"/>
    </font>
    <font>
      <b/>
      <sz val="16"/>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4" fontId="0" fillId="0" borderId="0" xfId="0" applyNumberFormat="1"/>
    <xf numFmtId="0" fontId="19" fillId="0" borderId="0" xfId="0" applyFont="1"/>
    <xf numFmtId="3" fontId="19" fillId="0" borderId="0" xfId="0" applyNumberFormat="1" applyFont="1"/>
    <xf numFmtId="0" fontId="20" fillId="0" borderId="0" xfId="0" applyFont="1"/>
    <xf numFmtId="0" fontId="21"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[Sales_Dashboard_Final.xlsx]Pivot 4!PivotTable4</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solidFill>
                  <a:schemeClr val="tx1"/>
                </a:solidFill>
              </a:rPr>
              <a:t>Revenue by Product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10411198600175"/>
          <c:y val="0.26475571489318023"/>
          <c:w val="0.58079775089089469"/>
          <c:h val="0.32908510388715378"/>
        </c:manualLayout>
      </c:layout>
      <c:barChart>
        <c:barDir val="col"/>
        <c:grouping val="stacked"/>
        <c:varyColors val="0"/>
        <c:ser>
          <c:idx val="0"/>
          <c:order val="0"/>
          <c:tx>
            <c:strRef>
              <c:f>'Pivot 4'!$B$3</c:f>
              <c:strCache>
                <c:ptCount val="1"/>
                <c:pt idx="0">
                  <c:v>Total</c:v>
                </c:pt>
              </c:strCache>
            </c:strRef>
          </c:tx>
          <c:spPr>
            <a:solidFill>
              <a:schemeClr val="accent1"/>
            </a:solidFill>
            <a:ln>
              <a:noFill/>
            </a:ln>
            <a:effectLst/>
          </c:spPr>
          <c:invertIfNegative val="0"/>
          <c:cat>
            <c:strRef>
              <c:f>'Pivot 4'!$A$4:$A$16</c:f>
              <c:strCache>
                <c:ptCount val="12"/>
                <c:pt idx="0">
                  <c:v>Desk Lamp</c:v>
                </c:pt>
                <c:pt idx="1">
                  <c:v>Headphones</c:v>
                </c:pt>
                <c:pt idx="2">
                  <c:v>Laptop</c:v>
                </c:pt>
                <c:pt idx="3">
                  <c:v>Monitor</c:v>
                </c:pt>
                <c:pt idx="4">
                  <c:v>Notebook Pack</c:v>
                </c:pt>
                <c:pt idx="5">
                  <c:v>Office Chair</c:v>
                </c:pt>
                <c:pt idx="6">
                  <c:v>Pen Set</c:v>
                </c:pt>
                <c:pt idx="7">
                  <c:v>Printer</c:v>
                </c:pt>
                <c:pt idx="8">
                  <c:v>Smartphone</c:v>
                </c:pt>
                <c:pt idx="9">
                  <c:v>Smartwatch</c:v>
                </c:pt>
                <c:pt idx="10">
                  <c:v>Standing Desk</c:v>
                </c:pt>
                <c:pt idx="11">
                  <c:v>Tablet</c:v>
                </c:pt>
              </c:strCache>
            </c:strRef>
          </c:cat>
          <c:val>
            <c:numRef>
              <c:f>'Pivot 4'!$B$4:$B$16</c:f>
              <c:numCache>
                <c:formatCode>General</c:formatCode>
                <c:ptCount val="12"/>
                <c:pt idx="0">
                  <c:v>27945</c:v>
                </c:pt>
                <c:pt idx="1">
                  <c:v>217750</c:v>
                </c:pt>
                <c:pt idx="2">
                  <c:v>1295250</c:v>
                </c:pt>
                <c:pt idx="3">
                  <c:v>1192800</c:v>
                </c:pt>
                <c:pt idx="4">
                  <c:v>35647.5</c:v>
                </c:pt>
                <c:pt idx="5">
                  <c:v>531750</c:v>
                </c:pt>
                <c:pt idx="6">
                  <c:v>13600</c:v>
                </c:pt>
                <c:pt idx="7">
                  <c:v>287375</c:v>
                </c:pt>
                <c:pt idx="8">
                  <c:v>1367300</c:v>
                </c:pt>
                <c:pt idx="9">
                  <c:v>378000</c:v>
                </c:pt>
                <c:pt idx="10">
                  <c:v>760800</c:v>
                </c:pt>
                <c:pt idx="11">
                  <c:v>1095300</c:v>
                </c:pt>
              </c:numCache>
            </c:numRef>
          </c:val>
          <c:extLst>
            <c:ext xmlns:c16="http://schemas.microsoft.com/office/drawing/2014/chart" uri="{C3380CC4-5D6E-409C-BE32-E72D297353CC}">
              <c16:uniqueId val="{00000000-2D2F-4975-AB20-224EABE4FF28}"/>
            </c:ext>
          </c:extLst>
        </c:ser>
        <c:dLbls>
          <c:showLegendKey val="0"/>
          <c:showVal val="0"/>
          <c:showCatName val="0"/>
          <c:showSerName val="0"/>
          <c:showPercent val="0"/>
          <c:showBubbleSize val="0"/>
        </c:dLbls>
        <c:gapWidth val="150"/>
        <c:overlap val="100"/>
        <c:axId val="867474768"/>
        <c:axId val="871168528"/>
      </c:barChart>
      <c:catAx>
        <c:axId val="867474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168528"/>
        <c:crosses val="autoZero"/>
        <c:auto val="1"/>
        <c:lblAlgn val="ctr"/>
        <c:lblOffset val="100"/>
        <c:noMultiLvlLbl val="0"/>
      </c:catAx>
      <c:valAx>
        <c:axId val="871168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47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85000"/>
          <a:lumOff val="15000"/>
        </a:schemeClr>
      </a:solidFill>
      <a:round/>
    </a:ln>
    <a:effectLst>
      <a:glow>
        <a:schemeClr val="tx1">
          <a:lumMod val="75000"/>
          <a:lumOff val="2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[Sales_Dashboard_Final.xlsx]Pivot 3!PivotTable3</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solidFill>
                  <a:schemeClr val="tx1"/>
                </a:solidFill>
              </a:rPr>
              <a:t>Revenue by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46-4E80-AAC1-CB669F8E4B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46-4E80-AAC1-CB669F8E4B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46-4E80-AAC1-CB669F8E4B0C}"/>
              </c:ext>
            </c:extLst>
          </c:dPt>
          <c:cat>
            <c:strRef>
              <c:f>'Pivot 3'!$A$4:$A$7</c:f>
              <c:strCache>
                <c:ptCount val="3"/>
                <c:pt idx="0">
                  <c:v>Electronics</c:v>
                </c:pt>
                <c:pt idx="1">
                  <c:v>Furniture</c:v>
                </c:pt>
                <c:pt idx="2">
                  <c:v>Stationery</c:v>
                </c:pt>
              </c:strCache>
            </c:strRef>
          </c:cat>
          <c:val>
            <c:numRef>
              <c:f>'Pivot 3'!$B$4:$B$7</c:f>
              <c:numCache>
                <c:formatCode>General</c:formatCode>
                <c:ptCount val="3"/>
                <c:pt idx="0">
                  <c:v>5833775</c:v>
                </c:pt>
                <c:pt idx="1">
                  <c:v>1320495</c:v>
                </c:pt>
                <c:pt idx="2">
                  <c:v>49247.5</c:v>
                </c:pt>
              </c:numCache>
            </c:numRef>
          </c:val>
          <c:extLst>
            <c:ext xmlns:c16="http://schemas.microsoft.com/office/drawing/2014/chart" uri="{C3380CC4-5D6E-409C-BE32-E72D297353CC}">
              <c16:uniqueId val="{00000006-1F46-4E80-AAC1-CB669F8E4B0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85000"/>
          <a:lumOff val="15000"/>
        </a:schemeClr>
      </a:solidFill>
      <a:round/>
    </a:ln>
    <a:effectLst>
      <a:glow>
        <a:schemeClr val="tx1">
          <a:lumMod val="75000"/>
          <a:lumOff val="2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[Sales_Dashboard_Final.xlsx]Pivot 2!PivotTable2</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solidFill>
                  <a:schemeClr val="tx1"/>
                </a:solidFill>
              </a:rPr>
              <a:t>Monthly Revenue Trend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2'!$B$3</c:f>
              <c:strCache>
                <c:ptCount val="1"/>
                <c:pt idx="0">
                  <c:v>Total</c:v>
                </c:pt>
              </c:strCache>
            </c:strRef>
          </c:tx>
          <c:spPr>
            <a:ln w="28575" cap="rnd">
              <a:solidFill>
                <a:schemeClr val="accent1"/>
              </a:solidFill>
              <a:round/>
            </a:ln>
            <a:effectLst/>
          </c:spPr>
          <c:marker>
            <c:symbol val="none"/>
          </c:marker>
          <c:cat>
            <c:strRef>
              <c:f>'Pivot 2'!$A$4:$A$16</c:f>
              <c:strCach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strCache>
            </c:strRef>
          </c:cat>
          <c:val>
            <c:numRef>
              <c:f>'Pivot 2'!$B$4:$B$16</c:f>
              <c:numCache>
                <c:formatCode>General</c:formatCode>
                <c:ptCount val="12"/>
                <c:pt idx="0">
                  <c:v>469355</c:v>
                </c:pt>
                <c:pt idx="1">
                  <c:v>729322.5</c:v>
                </c:pt>
                <c:pt idx="2">
                  <c:v>937752.5</c:v>
                </c:pt>
                <c:pt idx="3">
                  <c:v>365250</c:v>
                </c:pt>
                <c:pt idx="4">
                  <c:v>525180</c:v>
                </c:pt>
                <c:pt idx="5">
                  <c:v>469815</c:v>
                </c:pt>
                <c:pt idx="6">
                  <c:v>456945</c:v>
                </c:pt>
                <c:pt idx="7">
                  <c:v>379752.5</c:v>
                </c:pt>
                <c:pt idx="8">
                  <c:v>348370</c:v>
                </c:pt>
                <c:pt idx="9">
                  <c:v>1168497.5</c:v>
                </c:pt>
                <c:pt idx="10">
                  <c:v>551675</c:v>
                </c:pt>
                <c:pt idx="11">
                  <c:v>801602.5</c:v>
                </c:pt>
              </c:numCache>
            </c:numRef>
          </c:val>
          <c:smooth val="0"/>
          <c:extLst>
            <c:ext xmlns:c16="http://schemas.microsoft.com/office/drawing/2014/chart" uri="{C3380CC4-5D6E-409C-BE32-E72D297353CC}">
              <c16:uniqueId val="{00000000-868A-49CC-B7FF-811E0941F3A3}"/>
            </c:ext>
          </c:extLst>
        </c:ser>
        <c:dLbls>
          <c:showLegendKey val="0"/>
          <c:showVal val="0"/>
          <c:showCatName val="0"/>
          <c:showSerName val="0"/>
          <c:showPercent val="0"/>
          <c:showBubbleSize val="0"/>
        </c:dLbls>
        <c:smooth val="0"/>
        <c:axId val="859785568"/>
        <c:axId val="489772592"/>
      </c:lineChart>
      <c:catAx>
        <c:axId val="85978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772592"/>
        <c:crosses val="autoZero"/>
        <c:auto val="1"/>
        <c:lblAlgn val="ctr"/>
        <c:lblOffset val="100"/>
        <c:noMultiLvlLbl val="0"/>
      </c:catAx>
      <c:valAx>
        <c:axId val="489772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78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tx1">
          <a:lumMod val="65000"/>
          <a:lumOff val="35000"/>
        </a:schemeClr>
      </a:solidFill>
      <a:round/>
    </a:ln>
    <a:effectLst>
      <a:glow>
        <a:schemeClr val="tx1">
          <a:lumMod val="75000"/>
          <a:lumOff val="25000"/>
        </a:schemeClr>
      </a:glow>
      <a:outerShdw sx="1000" sy="1000" algn="ctr" rotWithShape="0">
        <a:schemeClr val="tx1">
          <a:lumMod val="75000"/>
          <a:lumOff val="2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[Sales_Dashboard_Final.xlsx]Pivot 1!PivotTable1</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Revenue by Region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1'!$B$3</c:f>
              <c:strCache>
                <c:ptCount val="1"/>
                <c:pt idx="0">
                  <c:v>Total</c:v>
                </c:pt>
              </c:strCache>
            </c:strRef>
          </c:tx>
          <c:spPr>
            <a:solidFill>
              <a:schemeClr val="accent1"/>
            </a:solidFill>
            <a:ln>
              <a:noFill/>
            </a:ln>
            <a:effectLst/>
          </c:spPr>
          <c:invertIfNegative val="0"/>
          <c:cat>
            <c:strRef>
              <c:f>'Pivot 1'!$A$4:$A$5</c:f>
              <c:strCache>
                <c:ptCount val="1"/>
                <c:pt idx="0">
                  <c:v>East</c:v>
                </c:pt>
              </c:strCache>
            </c:strRef>
          </c:cat>
          <c:val>
            <c:numRef>
              <c:f>'Pivot 1'!$B$4:$B$5</c:f>
              <c:numCache>
                <c:formatCode>#,##0.00</c:formatCode>
                <c:ptCount val="1"/>
                <c:pt idx="0">
                  <c:v>7203517.5</c:v>
                </c:pt>
              </c:numCache>
            </c:numRef>
          </c:val>
          <c:extLst>
            <c:ext xmlns:c16="http://schemas.microsoft.com/office/drawing/2014/chart" uri="{C3380CC4-5D6E-409C-BE32-E72D297353CC}">
              <c16:uniqueId val="{00000000-5381-44CD-B06B-1C6777EDF6AC}"/>
            </c:ext>
          </c:extLst>
        </c:ser>
        <c:dLbls>
          <c:showLegendKey val="0"/>
          <c:showVal val="0"/>
          <c:showCatName val="0"/>
          <c:showSerName val="0"/>
          <c:showPercent val="0"/>
          <c:showBubbleSize val="0"/>
        </c:dLbls>
        <c:gapWidth val="219"/>
        <c:overlap val="-27"/>
        <c:axId val="550494752"/>
        <c:axId val="489794672"/>
      </c:barChart>
      <c:catAx>
        <c:axId val="55049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89794672"/>
        <c:crosses val="autoZero"/>
        <c:auto val="1"/>
        <c:lblAlgn val="ctr"/>
        <c:lblOffset val="100"/>
        <c:noMultiLvlLbl val="0"/>
      </c:catAx>
      <c:valAx>
        <c:axId val="4897946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049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a:glow>
        <a:schemeClr val="tx1">
          <a:lumMod val="75000"/>
          <a:lumOff val="25000"/>
        </a:schemeClr>
      </a:glow>
    </a:effectLst>
    <a:scene3d>
      <a:camera prst="orthographicFront"/>
      <a:lightRig rig="threePt" dir="t"/>
    </a:scene3d>
    <a:sp3d prstMaterial="matte"/>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[Sales_Dashboard_Final.xlsx]Pivot 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1'!$B$3</c:f>
              <c:strCache>
                <c:ptCount val="1"/>
                <c:pt idx="0">
                  <c:v>Total</c:v>
                </c:pt>
              </c:strCache>
            </c:strRef>
          </c:tx>
          <c:spPr>
            <a:solidFill>
              <a:schemeClr val="accent1"/>
            </a:solidFill>
            <a:ln>
              <a:noFill/>
            </a:ln>
            <a:effectLst/>
          </c:spPr>
          <c:invertIfNegative val="0"/>
          <c:cat>
            <c:strRef>
              <c:f>'Pivot 1'!$A$4:$A$5</c:f>
              <c:strCache>
                <c:ptCount val="1"/>
                <c:pt idx="0">
                  <c:v>East</c:v>
                </c:pt>
              </c:strCache>
            </c:strRef>
          </c:cat>
          <c:val>
            <c:numRef>
              <c:f>'Pivot 1'!$B$4:$B$5</c:f>
              <c:numCache>
                <c:formatCode>#,##0.00</c:formatCode>
                <c:ptCount val="1"/>
                <c:pt idx="0">
                  <c:v>7203517.5</c:v>
                </c:pt>
              </c:numCache>
            </c:numRef>
          </c:val>
          <c:extLst>
            <c:ext xmlns:c16="http://schemas.microsoft.com/office/drawing/2014/chart" uri="{C3380CC4-5D6E-409C-BE32-E72D297353CC}">
              <c16:uniqueId val="{00000000-F082-4E49-BC37-3EB7484B644A}"/>
            </c:ext>
          </c:extLst>
        </c:ser>
        <c:dLbls>
          <c:showLegendKey val="0"/>
          <c:showVal val="0"/>
          <c:showCatName val="0"/>
          <c:showSerName val="0"/>
          <c:showPercent val="0"/>
          <c:showBubbleSize val="0"/>
        </c:dLbls>
        <c:gapWidth val="219"/>
        <c:overlap val="-27"/>
        <c:axId val="550494752"/>
        <c:axId val="489794672"/>
      </c:barChart>
      <c:catAx>
        <c:axId val="55049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794672"/>
        <c:crosses val="autoZero"/>
        <c:auto val="1"/>
        <c:lblAlgn val="ctr"/>
        <c:lblOffset val="100"/>
        <c:noMultiLvlLbl val="0"/>
      </c:catAx>
      <c:valAx>
        <c:axId val="4897946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49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[Sales_Dashboard_Final.xlsx]Pivot 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2'!$B$3</c:f>
              <c:strCache>
                <c:ptCount val="1"/>
                <c:pt idx="0">
                  <c:v>Total</c:v>
                </c:pt>
              </c:strCache>
            </c:strRef>
          </c:tx>
          <c:spPr>
            <a:solidFill>
              <a:schemeClr val="accent1"/>
            </a:solidFill>
            <a:ln>
              <a:noFill/>
            </a:ln>
            <a:effectLst/>
          </c:spPr>
          <c:invertIfNegative val="0"/>
          <c:cat>
            <c:strRef>
              <c:f>'Pivot 2'!$A$4:$A$16</c:f>
              <c:strCach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strCache>
            </c:strRef>
          </c:cat>
          <c:val>
            <c:numRef>
              <c:f>'Pivot 2'!$B$4:$B$16</c:f>
              <c:numCache>
                <c:formatCode>General</c:formatCode>
                <c:ptCount val="12"/>
                <c:pt idx="0">
                  <c:v>469355</c:v>
                </c:pt>
                <c:pt idx="1">
                  <c:v>729322.5</c:v>
                </c:pt>
                <c:pt idx="2">
                  <c:v>937752.5</c:v>
                </c:pt>
                <c:pt idx="3">
                  <c:v>365250</c:v>
                </c:pt>
                <c:pt idx="4">
                  <c:v>525180</c:v>
                </c:pt>
                <c:pt idx="5">
                  <c:v>469815</c:v>
                </c:pt>
                <c:pt idx="6">
                  <c:v>456945</c:v>
                </c:pt>
                <c:pt idx="7">
                  <c:v>379752.5</c:v>
                </c:pt>
                <c:pt idx="8">
                  <c:v>348370</c:v>
                </c:pt>
                <c:pt idx="9">
                  <c:v>1168497.5</c:v>
                </c:pt>
                <c:pt idx="10">
                  <c:v>551675</c:v>
                </c:pt>
                <c:pt idx="11">
                  <c:v>801602.5</c:v>
                </c:pt>
              </c:numCache>
            </c:numRef>
          </c:val>
          <c:extLst>
            <c:ext xmlns:c16="http://schemas.microsoft.com/office/drawing/2014/chart" uri="{C3380CC4-5D6E-409C-BE32-E72D297353CC}">
              <c16:uniqueId val="{00000000-E9E4-47EA-A1B8-E93D0A6C1DE2}"/>
            </c:ext>
          </c:extLst>
        </c:ser>
        <c:dLbls>
          <c:showLegendKey val="0"/>
          <c:showVal val="0"/>
          <c:showCatName val="0"/>
          <c:showSerName val="0"/>
          <c:showPercent val="0"/>
          <c:showBubbleSize val="0"/>
        </c:dLbls>
        <c:gapWidth val="219"/>
        <c:overlap val="-27"/>
        <c:axId val="494819296"/>
        <c:axId val="489776912"/>
      </c:barChart>
      <c:catAx>
        <c:axId val="49481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776912"/>
        <c:crosses val="autoZero"/>
        <c:auto val="1"/>
        <c:lblAlgn val="ctr"/>
        <c:lblOffset val="100"/>
        <c:noMultiLvlLbl val="0"/>
      </c:catAx>
      <c:valAx>
        <c:axId val="489776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81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[Sales_Dashboard_Final.xlsx]Pivot 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3'!$B$3</c:f>
              <c:strCache>
                <c:ptCount val="1"/>
                <c:pt idx="0">
                  <c:v>Total</c:v>
                </c:pt>
              </c:strCache>
            </c:strRef>
          </c:tx>
          <c:spPr>
            <a:solidFill>
              <a:schemeClr val="accent1"/>
            </a:solidFill>
            <a:ln>
              <a:noFill/>
            </a:ln>
            <a:effectLst/>
          </c:spPr>
          <c:invertIfNegative val="0"/>
          <c:cat>
            <c:strRef>
              <c:f>'Pivot 3'!$A$4:$A$7</c:f>
              <c:strCache>
                <c:ptCount val="3"/>
                <c:pt idx="0">
                  <c:v>Electronics</c:v>
                </c:pt>
                <c:pt idx="1">
                  <c:v>Furniture</c:v>
                </c:pt>
                <c:pt idx="2">
                  <c:v>Stationery</c:v>
                </c:pt>
              </c:strCache>
            </c:strRef>
          </c:cat>
          <c:val>
            <c:numRef>
              <c:f>'Pivot 3'!$B$4:$B$7</c:f>
              <c:numCache>
                <c:formatCode>General</c:formatCode>
                <c:ptCount val="3"/>
                <c:pt idx="0">
                  <c:v>5833775</c:v>
                </c:pt>
                <c:pt idx="1">
                  <c:v>1320495</c:v>
                </c:pt>
                <c:pt idx="2">
                  <c:v>49247.5</c:v>
                </c:pt>
              </c:numCache>
            </c:numRef>
          </c:val>
          <c:extLst>
            <c:ext xmlns:c16="http://schemas.microsoft.com/office/drawing/2014/chart" uri="{C3380CC4-5D6E-409C-BE32-E72D297353CC}">
              <c16:uniqueId val="{00000000-3DAD-4296-8989-6ECEA91AAF08}"/>
            </c:ext>
          </c:extLst>
        </c:ser>
        <c:dLbls>
          <c:showLegendKey val="0"/>
          <c:showVal val="0"/>
          <c:showCatName val="0"/>
          <c:showSerName val="0"/>
          <c:showPercent val="0"/>
          <c:showBubbleSize val="0"/>
        </c:dLbls>
        <c:gapWidth val="219"/>
        <c:overlap val="-27"/>
        <c:axId val="837809856"/>
        <c:axId val="489711152"/>
      </c:barChart>
      <c:catAx>
        <c:axId val="83780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711152"/>
        <c:crosses val="autoZero"/>
        <c:auto val="1"/>
        <c:lblAlgn val="ctr"/>
        <c:lblOffset val="100"/>
        <c:noMultiLvlLbl val="0"/>
      </c:catAx>
      <c:valAx>
        <c:axId val="48971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80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[Sales_Dashboard_Final.xlsx]Pivot 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4'!$B$3</c:f>
              <c:strCache>
                <c:ptCount val="1"/>
                <c:pt idx="0">
                  <c:v>Total</c:v>
                </c:pt>
              </c:strCache>
            </c:strRef>
          </c:tx>
          <c:spPr>
            <a:solidFill>
              <a:schemeClr val="accent1"/>
            </a:solidFill>
            <a:ln>
              <a:noFill/>
            </a:ln>
            <a:effectLst/>
          </c:spPr>
          <c:invertIfNegative val="0"/>
          <c:cat>
            <c:strRef>
              <c:f>'Pivot 4'!$A$4:$A$16</c:f>
              <c:strCache>
                <c:ptCount val="12"/>
                <c:pt idx="0">
                  <c:v>Desk Lamp</c:v>
                </c:pt>
                <c:pt idx="1">
                  <c:v>Headphones</c:v>
                </c:pt>
                <c:pt idx="2">
                  <c:v>Laptop</c:v>
                </c:pt>
                <c:pt idx="3">
                  <c:v>Monitor</c:v>
                </c:pt>
                <c:pt idx="4">
                  <c:v>Notebook Pack</c:v>
                </c:pt>
                <c:pt idx="5">
                  <c:v>Office Chair</c:v>
                </c:pt>
                <c:pt idx="6">
                  <c:v>Pen Set</c:v>
                </c:pt>
                <c:pt idx="7">
                  <c:v>Printer</c:v>
                </c:pt>
                <c:pt idx="8">
                  <c:v>Smartphone</c:v>
                </c:pt>
                <c:pt idx="9">
                  <c:v>Smartwatch</c:v>
                </c:pt>
                <c:pt idx="10">
                  <c:v>Standing Desk</c:v>
                </c:pt>
                <c:pt idx="11">
                  <c:v>Tablet</c:v>
                </c:pt>
              </c:strCache>
            </c:strRef>
          </c:cat>
          <c:val>
            <c:numRef>
              <c:f>'Pivot 4'!$B$4:$B$16</c:f>
              <c:numCache>
                <c:formatCode>General</c:formatCode>
                <c:ptCount val="12"/>
                <c:pt idx="0">
                  <c:v>27945</c:v>
                </c:pt>
                <c:pt idx="1">
                  <c:v>217750</c:v>
                </c:pt>
                <c:pt idx="2">
                  <c:v>1295250</c:v>
                </c:pt>
                <c:pt idx="3">
                  <c:v>1192800</c:v>
                </c:pt>
                <c:pt idx="4">
                  <c:v>35647.5</c:v>
                </c:pt>
                <c:pt idx="5">
                  <c:v>531750</c:v>
                </c:pt>
                <c:pt idx="6">
                  <c:v>13600</c:v>
                </c:pt>
                <c:pt idx="7">
                  <c:v>287375</c:v>
                </c:pt>
                <c:pt idx="8">
                  <c:v>1367300</c:v>
                </c:pt>
                <c:pt idx="9">
                  <c:v>378000</c:v>
                </c:pt>
                <c:pt idx="10">
                  <c:v>760800</c:v>
                </c:pt>
                <c:pt idx="11">
                  <c:v>1095300</c:v>
                </c:pt>
              </c:numCache>
            </c:numRef>
          </c:val>
          <c:extLst>
            <c:ext xmlns:c16="http://schemas.microsoft.com/office/drawing/2014/chart" uri="{C3380CC4-5D6E-409C-BE32-E72D297353CC}">
              <c16:uniqueId val="{00000000-1688-4A31-B4C3-983C8965CE2A}"/>
            </c:ext>
          </c:extLst>
        </c:ser>
        <c:dLbls>
          <c:showLegendKey val="0"/>
          <c:showVal val="0"/>
          <c:showCatName val="0"/>
          <c:showSerName val="0"/>
          <c:showPercent val="0"/>
          <c:showBubbleSize val="0"/>
        </c:dLbls>
        <c:gapWidth val="219"/>
        <c:overlap val="-27"/>
        <c:axId val="835693376"/>
        <c:axId val="489726032"/>
      </c:barChart>
      <c:catAx>
        <c:axId val="83569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726032"/>
        <c:crosses val="autoZero"/>
        <c:auto val="1"/>
        <c:lblAlgn val="ctr"/>
        <c:lblOffset val="100"/>
        <c:noMultiLvlLbl val="0"/>
      </c:catAx>
      <c:valAx>
        <c:axId val="489726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69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1714742</xdr:colOff>
      <xdr:row>24</xdr:row>
      <xdr:rowOff>118292</xdr:rowOff>
    </xdr:from>
    <xdr:to>
      <xdr:col>7</xdr:col>
      <xdr:colOff>130629</xdr:colOff>
      <xdr:row>39</xdr:row>
      <xdr:rowOff>133532</xdr:rowOff>
    </xdr:to>
    <xdr:graphicFrame macro="">
      <xdr:nvGraphicFramePr>
        <xdr:cNvPr id="2" name="Chart 1">
          <a:extLst>
            <a:ext uri="{FF2B5EF4-FFF2-40B4-BE49-F238E27FC236}">
              <a16:creationId xmlns:a16="http://schemas.microsoft.com/office/drawing/2014/main" id="{EF9138B3-53D5-4F54-9227-17D686828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57210</xdr:colOff>
      <xdr:row>24</xdr:row>
      <xdr:rowOff>122767</xdr:rowOff>
    </xdr:from>
    <xdr:to>
      <xdr:col>12</xdr:col>
      <xdr:colOff>137765</xdr:colOff>
      <xdr:row>39</xdr:row>
      <xdr:rowOff>92287</xdr:rowOff>
    </xdr:to>
    <xdr:graphicFrame macro="">
      <xdr:nvGraphicFramePr>
        <xdr:cNvPr id="3" name="Chart 2">
          <a:extLst>
            <a:ext uri="{FF2B5EF4-FFF2-40B4-BE49-F238E27FC236}">
              <a16:creationId xmlns:a16="http://schemas.microsoft.com/office/drawing/2014/main" id="{62F5D0E8-24E8-463F-AACF-77A33D88A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28545</xdr:colOff>
      <xdr:row>9</xdr:row>
      <xdr:rowOff>146956</xdr:rowOff>
    </xdr:from>
    <xdr:to>
      <xdr:col>12</xdr:col>
      <xdr:colOff>302382</xdr:colOff>
      <xdr:row>22</xdr:row>
      <xdr:rowOff>158387</xdr:rowOff>
    </xdr:to>
    <xdr:graphicFrame macro="">
      <xdr:nvGraphicFramePr>
        <xdr:cNvPr id="4" name="Chart 3">
          <a:extLst>
            <a:ext uri="{FF2B5EF4-FFF2-40B4-BE49-F238E27FC236}">
              <a16:creationId xmlns:a16="http://schemas.microsoft.com/office/drawing/2014/main" id="{295B38FA-A534-40EC-A1AA-F5CCFA1F0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1696477</xdr:colOff>
      <xdr:row>9</xdr:row>
      <xdr:rowOff>180097</xdr:rowOff>
    </xdr:from>
    <xdr:to>
      <xdr:col>6</xdr:col>
      <xdr:colOff>463489</xdr:colOff>
      <xdr:row>23</xdr:row>
      <xdr:rowOff>13909</xdr:rowOff>
    </xdr:to>
    <xdr:graphicFrame macro="">
      <xdr:nvGraphicFramePr>
        <xdr:cNvPr id="5" name="Chart 4">
          <a:extLst>
            <a:ext uri="{FF2B5EF4-FFF2-40B4-BE49-F238E27FC236}">
              <a16:creationId xmlns:a16="http://schemas.microsoft.com/office/drawing/2014/main" id="{1661FEBD-5200-4692-907D-167AD068F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326570</xdr:colOff>
      <xdr:row>14</xdr:row>
      <xdr:rowOff>157238</xdr:rowOff>
    </xdr:from>
    <xdr:to>
      <xdr:col>19</xdr:col>
      <xdr:colOff>0</xdr:colOff>
      <xdr:row>37</xdr:row>
      <xdr:rowOff>84667</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DB4A64EF-37E7-4891-A6A6-FD5C21E33DE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909522" y="2939143"/>
              <a:ext cx="3302002" cy="4100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601980</xdr:colOff>
      <xdr:row>1</xdr:row>
      <xdr:rowOff>156210</xdr:rowOff>
    </xdr:from>
    <xdr:to>
      <xdr:col>10</xdr:col>
      <xdr:colOff>297180</xdr:colOff>
      <xdr:row>16</xdr:row>
      <xdr:rowOff>156210</xdr:rowOff>
    </xdr:to>
    <xdr:graphicFrame macro="">
      <xdr:nvGraphicFramePr>
        <xdr:cNvPr id="2" name="Chart 1">
          <a:extLst>
            <a:ext uri="{FF2B5EF4-FFF2-40B4-BE49-F238E27FC236}">
              <a16:creationId xmlns:a16="http://schemas.microsoft.com/office/drawing/2014/main" id="{6739E85C-A551-C2F4-5B68-E185CA11CC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312420</xdr:colOff>
      <xdr:row>1</xdr:row>
      <xdr:rowOff>175260</xdr:rowOff>
    </xdr:from>
    <xdr:to>
      <xdr:col>9</xdr:col>
      <xdr:colOff>403860</xdr:colOff>
      <xdr:row>15</xdr:row>
      <xdr:rowOff>3810</xdr:rowOff>
    </xdr:to>
    <xdr:graphicFrame macro="">
      <xdr:nvGraphicFramePr>
        <xdr:cNvPr id="2" name="Chart 1">
          <a:extLst>
            <a:ext uri="{FF2B5EF4-FFF2-40B4-BE49-F238E27FC236}">
              <a16:creationId xmlns:a16="http://schemas.microsoft.com/office/drawing/2014/main" id="{D0C1C4BB-DF17-09DF-F8C4-E26193666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259080</xdr:colOff>
      <xdr:row>2</xdr:row>
      <xdr:rowOff>3810</xdr:rowOff>
    </xdr:from>
    <xdr:to>
      <xdr:col>11</xdr:col>
      <xdr:colOff>213360</xdr:colOff>
      <xdr:row>17</xdr:row>
      <xdr:rowOff>3810</xdr:rowOff>
    </xdr:to>
    <xdr:graphicFrame macro="">
      <xdr:nvGraphicFramePr>
        <xdr:cNvPr id="2" name="Chart 1">
          <a:extLst>
            <a:ext uri="{FF2B5EF4-FFF2-40B4-BE49-F238E27FC236}">
              <a16:creationId xmlns:a16="http://schemas.microsoft.com/office/drawing/2014/main" id="{3CCAA172-9A79-5352-8C76-C7294C4FEF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2</xdr:row>
      <xdr:rowOff>3810</xdr:rowOff>
    </xdr:from>
    <xdr:to>
      <xdr:col>10</xdr:col>
      <xdr:colOff>304800</xdr:colOff>
      <xdr:row>17</xdr:row>
      <xdr:rowOff>3810</xdr:rowOff>
    </xdr:to>
    <xdr:graphicFrame macro="">
      <xdr:nvGraphicFramePr>
        <xdr:cNvPr id="2" name="Chart 1">
          <a:extLst>
            <a:ext uri="{FF2B5EF4-FFF2-40B4-BE49-F238E27FC236}">
              <a16:creationId xmlns:a16="http://schemas.microsoft.com/office/drawing/2014/main" id="{CCA7DCDE-5446-23F4-A0BB-BA835EFEF8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wathi Shanigaramu" refreshedDate="46307.538596064813" createdVersion="8" refreshedVersion="8" minRefreshableVersion="3" recordCount="971" xr:uid="{43B9989E-AA33-4376-9B58-279802727776}">
  <cacheSource type="worksheet">
    <worksheetSource name="Table1"/>
  </cacheSource>
  <cacheFields count="14">
    <cacheField name="order_id" numFmtId="0">
      <sharedItems containsSemiMixedTypes="0" containsString="0" containsNumber="1" containsInteger="1" minValue="5001" maxValue="6000"/>
    </cacheField>
    <cacheField name="order_date" numFmtId="14">
      <sharedItems containsSemiMixedTypes="0" containsNonDate="0" containsDate="1" containsString="0" minDate="2025-01-02T00:00:00" maxDate="2026-01-01T00:00:00"/>
    </cacheField>
    <cacheField name="customer_id" numFmtId="0">
      <sharedItems containsSemiMixedTypes="0" containsString="0" containsNumber="1" containsInteger="1" minValue="1001" maxValue="1060"/>
    </cacheField>
    <cacheField name="customer_name" numFmtId="0">
      <sharedItems/>
    </cacheField>
    <cacheField name="region" numFmtId="0">
      <sharedItems count="5">
        <s v="South"/>
        <s v="Unknown"/>
        <s v="East"/>
        <s v="West"/>
        <s v="North"/>
      </sharedItems>
    </cacheField>
    <cacheField name="segment" numFmtId="0">
      <sharedItems/>
    </cacheField>
    <cacheField name="product_name" numFmtId="0">
      <sharedItems count="12">
        <s v="Smartwatch"/>
        <s v="Headphones"/>
        <s v="Laptop"/>
        <s v="Notebook Pack"/>
        <s v="Standing Desk"/>
        <s v="Smartphone"/>
        <s v="Desk Lamp"/>
        <s v="Monitor"/>
        <s v="Pen Set"/>
        <s v="Office Chair"/>
        <s v="Tablet"/>
        <s v="Printer"/>
      </sharedItems>
    </cacheField>
    <cacheField name="category" numFmtId="0">
      <sharedItems count="3">
        <s v="Electronics"/>
        <s v="Stationery"/>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200" maxValue="55000"/>
    </cacheField>
    <cacheField name="discount_pct" numFmtId="0">
      <sharedItems containsSemiMixedTypes="0" containsString="0" containsNumber="1" containsInteger="1" minValue="0" maxValue="15"/>
    </cacheField>
    <cacheField name="payment_mode" numFmtId="0">
      <sharedItems/>
    </cacheField>
    <cacheField name="Revenue" numFmtId="0">
      <sharedItems containsSemiMixedTypes="0" containsString="0" containsNumber="1" minValue="170" maxValue="275000" count="182">
        <n v="30000"/>
        <n v="24000"/>
        <n v="7500"/>
        <n v="156750"/>
        <n v="665"/>
        <n v="32000"/>
        <n v="700"/>
        <n v="5000"/>
        <n v="55000"/>
        <n v="13600"/>
        <n v="22000"/>
        <n v="855"/>
        <n v="2500"/>
        <n v="1750"/>
        <n v="57000"/>
        <n v="1000"/>
        <n v="12500"/>
        <n v="1662.5"/>
        <n v="64000"/>
        <n v="88000"/>
        <n v="760"/>
        <n v="800"/>
        <n v="1050"/>
        <n v="165000"/>
        <n v="400"/>
        <n v="12000"/>
        <n v="80000"/>
        <n v="37500"/>
        <n v="1400"/>
        <n v="45600"/>
        <n v="17100"/>
        <n v="997.5"/>
        <n v="66000"/>
        <n v="45900"/>
        <n v="99000"/>
        <n v="60000"/>
        <n v="11875"/>
        <n v="1330"/>
        <n v="220000"/>
        <n v="32300"/>
        <n v="10000"/>
        <n v="680"/>
        <n v="600"/>
        <n v="52250"/>
        <n v="900"/>
        <n v="54000"/>
        <n v="72000"/>
        <n v="6750"/>
        <n v="170"/>
        <n v="110000"/>
        <n v="28500"/>
        <n v="16200"/>
        <n v="22500"/>
        <n v="10200"/>
        <n v="12750"/>
        <n v="27000"/>
        <n v="31875"/>
        <n v="261250"/>
        <n v="22800"/>
        <n v="38000"/>
        <n v="8500"/>
        <n v="18000"/>
        <n v="1800"/>
        <n v="18050"/>
        <n v="190"/>
        <n v="10800"/>
        <n v="180"/>
        <n v="48000"/>
        <n v="79200"/>
        <n v="25650"/>
        <n v="15300"/>
        <n v="20250"/>
        <n v="36000"/>
        <n v="28800"/>
        <n v="7125"/>
        <n v="200"/>
        <n v="315"/>
        <n v="93500"/>
        <n v="21600"/>
        <n v="595"/>
        <n v="9500"/>
        <n v="42750"/>
        <n v="4500"/>
        <n v="850"/>
        <n v="60800"/>
        <n v="3600"/>
        <n v="2700"/>
        <n v="51300"/>
        <n v="27075"/>
        <n v="34200"/>
        <n v="2430"/>
        <n v="4750"/>
        <n v="630"/>
        <n v="350"/>
        <n v="332.5"/>
        <n v="35625"/>
        <n v="1575"/>
        <n v="39600"/>
        <n v="6000"/>
        <n v="11250"/>
        <n v="90000"/>
        <n v="360"/>
        <n v="33750"/>
        <n v="765"/>
        <n v="15200"/>
        <n v="2295"/>
        <n v="15000"/>
        <n v="47500"/>
        <n v="209000"/>
        <n v="3060"/>
        <n v="1260"/>
        <n v="13500"/>
        <n v="30600"/>
        <n v="1620"/>
        <n v="20900"/>
        <n v="2375"/>
        <n v="81000"/>
        <n v="233750"/>
        <n v="40800"/>
        <n v="540"/>
        <n v="76000"/>
        <n v="43200"/>
        <n v="19000"/>
        <n v="19800"/>
        <n v="10625"/>
        <n v="45125"/>
        <n v="3240"/>
        <n v="2565"/>
        <n v="945"/>
        <n v="11400"/>
        <n v="2250"/>
        <n v="950"/>
        <n v="6375"/>
        <n v="49500"/>
        <n v="68000"/>
        <n v="36100"/>
        <n v="24225"/>
        <n v="14400"/>
        <n v="9000"/>
        <n v="56100"/>
        <n v="32400"/>
        <n v="4250"/>
        <n v="340"/>
        <n v="16000"/>
        <n v="275000"/>
        <n v="1710"/>
        <n v="41800"/>
        <n v="4050"/>
        <n v="1487.5"/>
        <n v="85500"/>
        <n v="64800"/>
        <n v="4275"/>
        <n v="720"/>
        <n v="76500"/>
        <n v="297.5"/>
        <n v="5100"/>
        <n v="61200"/>
        <n v="148500"/>
        <n v="19125"/>
        <n v="380"/>
        <n v="25500"/>
        <n v="20400"/>
        <n v="14250"/>
        <n v="8550"/>
        <n v="62700"/>
        <n v="892.5"/>
        <n v="5400"/>
        <n v="83600"/>
        <n v="104500"/>
        <n v="74800"/>
        <n v="570"/>
        <n v="57600"/>
        <n v="59400"/>
        <n v="1190"/>
        <n v="37400"/>
        <n v="810"/>
        <n v="54400"/>
        <n v="44000"/>
        <n v="18700"/>
        <n v="46750"/>
        <n v="2125"/>
        <n v="68400"/>
      </sharedItems>
    </cacheField>
    <cacheField name="Month" numFmtId="0">
      <sharedItems count="12">
        <s v="2025-04"/>
        <s v="2025-12"/>
        <s v="2025-07"/>
        <s v="2025-02"/>
        <s v="2025-03"/>
        <s v="2025-06"/>
        <s v="2025-08"/>
        <s v="2025-09"/>
        <s v="2025-05"/>
        <s v="2025-01"/>
        <s v="2025-11"/>
        <s v="2025-10"/>
      </sharedItems>
    </cacheField>
  </cacheFields>
  <extLst>
    <ext xmlns:x14="http://schemas.microsoft.com/office/spreadsheetml/2009/9/main" uri="{725AE2AE-9491-48be-B2B4-4EB974FC3084}">
      <x14:pivotCacheDefinition pivotCacheId="16651046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1">
  <r>
    <n v="5250"/>
    <d v="2025-04-01T00:00:00"/>
    <n v="1001"/>
    <s v="Diya Das"/>
    <x v="0"/>
    <s v="Consumer"/>
    <x v="0"/>
    <x v="0"/>
    <n v="5"/>
    <n v="6000"/>
    <n v="0"/>
    <s v="Cash"/>
    <x v="0"/>
    <x v="0"/>
  </r>
  <r>
    <n v="5959"/>
    <d v="2025-12-18T00:00:00"/>
    <n v="1001"/>
    <s v="Diya Das"/>
    <x v="0"/>
    <s v="Consumer"/>
    <x v="0"/>
    <x v="0"/>
    <n v="4"/>
    <n v="6000"/>
    <n v="0"/>
    <s v="Debit Card"/>
    <x v="1"/>
    <x v="1"/>
  </r>
  <r>
    <n v="5507"/>
    <d v="2025-07-10T00:00:00"/>
    <n v="1001"/>
    <s v="Diya Das"/>
    <x v="0"/>
    <s v="Consumer"/>
    <x v="1"/>
    <x v="0"/>
    <n v="3"/>
    <n v="2500"/>
    <n v="0"/>
    <s v="Credit Card"/>
    <x v="2"/>
    <x v="2"/>
  </r>
  <r>
    <n v="5902"/>
    <d v="2025-12-02T00:00:00"/>
    <n v="1001"/>
    <s v="Diya Das"/>
    <x v="0"/>
    <s v="Consumer"/>
    <x v="2"/>
    <x v="0"/>
    <n v="3"/>
    <n v="55000"/>
    <n v="5"/>
    <s v="Credit Card"/>
    <x v="3"/>
    <x v="1"/>
  </r>
  <r>
    <n v="5109"/>
    <d v="2025-02-09T00:00:00"/>
    <n v="1001"/>
    <s v="Diya Das"/>
    <x v="0"/>
    <s v="Consumer"/>
    <x v="3"/>
    <x v="1"/>
    <n v="2"/>
    <n v="350"/>
    <n v="5"/>
    <s v="Debit Card"/>
    <x v="4"/>
    <x v="3"/>
  </r>
  <r>
    <n v="5182"/>
    <d v="2025-03-02T00:00:00"/>
    <n v="1001"/>
    <s v="Diya Das"/>
    <x v="0"/>
    <s v="Consumer"/>
    <x v="4"/>
    <x v="2"/>
    <n v="2"/>
    <n v="16000"/>
    <n v="0"/>
    <s v="Credit Card"/>
    <x v="5"/>
    <x v="4"/>
  </r>
  <r>
    <n v="5188"/>
    <d v="2025-03-05T00:00:00"/>
    <n v="1001"/>
    <s v="Diya Das"/>
    <x v="1"/>
    <s v="Consumer"/>
    <x v="3"/>
    <x v="1"/>
    <n v="2"/>
    <n v="350"/>
    <n v="0"/>
    <s v="Debit Card"/>
    <x v="6"/>
    <x v="4"/>
  </r>
  <r>
    <n v="5439"/>
    <d v="2025-06-17T00:00:00"/>
    <n v="1001"/>
    <s v="Diya Das"/>
    <x v="0"/>
    <s v="Consumer"/>
    <x v="1"/>
    <x v="0"/>
    <n v="2"/>
    <n v="2500"/>
    <n v="0"/>
    <s v="Cash"/>
    <x v="7"/>
    <x v="5"/>
  </r>
  <r>
    <n v="5649"/>
    <d v="2025-08-31T00:00:00"/>
    <n v="1001"/>
    <s v="Diya Das"/>
    <x v="0"/>
    <s v="Consumer"/>
    <x v="3"/>
    <x v="1"/>
    <n v="2"/>
    <n v="350"/>
    <n v="0"/>
    <s v="Debit Card"/>
    <x v="6"/>
    <x v="6"/>
  </r>
  <r>
    <n v="5696"/>
    <d v="2025-09-21T00:00:00"/>
    <n v="1001"/>
    <s v="Diya Das"/>
    <x v="0"/>
    <s v="Consumer"/>
    <x v="3"/>
    <x v="1"/>
    <n v="2"/>
    <n v="350"/>
    <n v="5"/>
    <s v="Debit Card"/>
    <x v="4"/>
    <x v="7"/>
  </r>
  <r>
    <n v="5232"/>
    <d v="2025-03-28T00:00:00"/>
    <n v="1001"/>
    <s v="Diya Das"/>
    <x v="0"/>
    <s v="Consumer"/>
    <x v="2"/>
    <x v="0"/>
    <n v="1"/>
    <n v="55000"/>
    <n v="0"/>
    <s v="Cash"/>
    <x v="8"/>
    <x v="4"/>
  </r>
  <r>
    <n v="5324"/>
    <d v="2025-04-28T00:00:00"/>
    <n v="1001"/>
    <s v="Diya Das"/>
    <x v="0"/>
    <s v="Consumer"/>
    <x v="4"/>
    <x v="2"/>
    <n v="1"/>
    <n v="16000"/>
    <n v="15"/>
    <s v="UPI"/>
    <x v="9"/>
    <x v="0"/>
  </r>
  <r>
    <n v="5382"/>
    <d v="2025-05-29T00:00:00"/>
    <n v="1001"/>
    <s v="Diya Das"/>
    <x v="0"/>
    <s v="Consumer"/>
    <x v="5"/>
    <x v="0"/>
    <n v="1"/>
    <n v="22000"/>
    <n v="0"/>
    <s v="Cash"/>
    <x v="10"/>
    <x v="8"/>
  </r>
  <r>
    <n v="5463"/>
    <d v="2025-06-27T00:00:00"/>
    <n v="1001"/>
    <s v="Diya Das"/>
    <x v="0"/>
    <s v="Consumer"/>
    <x v="6"/>
    <x v="2"/>
    <n v="1"/>
    <n v="900"/>
    <n v="5"/>
    <s v="Debit Card"/>
    <x v="11"/>
    <x v="5"/>
  </r>
  <r>
    <n v="5613"/>
    <d v="2025-08-20T00:00:00"/>
    <n v="1001"/>
    <s v="Diya Das"/>
    <x v="0"/>
    <s v="Consumer"/>
    <x v="1"/>
    <x v="0"/>
    <n v="1"/>
    <n v="2500"/>
    <n v="0"/>
    <s v="Credit Card"/>
    <x v="12"/>
    <x v="6"/>
  </r>
  <r>
    <n v="5066"/>
    <d v="2025-01-22T00:00:00"/>
    <n v="1002"/>
    <s v="Neha Patel"/>
    <x v="2"/>
    <s v="Corporate"/>
    <x v="3"/>
    <x v="1"/>
    <n v="5"/>
    <n v="350"/>
    <n v="0"/>
    <s v="Debit Card"/>
    <x v="13"/>
    <x v="9"/>
  </r>
  <r>
    <n v="5352"/>
    <d v="2025-05-15T00:00:00"/>
    <n v="1002"/>
    <s v="Neha Patel"/>
    <x v="2"/>
    <s v="Corporate"/>
    <x v="7"/>
    <x v="0"/>
    <n v="5"/>
    <n v="12000"/>
    <n v="5"/>
    <s v="Debit Card"/>
    <x v="14"/>
    <x v="8"/>
  </r>
  <r>
    <n v="5569"/>
    <d v="2025-08-03T00:00:00"/>
    <n v="1002"/>
    <s v="Neha Patel"/>
    <x v="2"/>
    <s v="Corporate"/>
    <x v="8"/>
    <x v="1"/>
    <n v="5"/>
    <n v="200"/>
    <n v="0"/>
    <s v="Cash"/>
    <x v="15"/>
    <x v="6"/>
  </r>
  <r>
    <n v="5923"/>
    <d v="2025-12-06T00:00:00"/>
    <n v="1002"/>
    <s v="Neha Patel"/>
    <x v="2"/>
    <s v="Corporate"/>
    <x v="1"/>
    <x v="0"/>
    <n v="5"/>
    <n v="2500"/>
    <n v="0"/>
    <s v="Cash"/>
    <x v="16"/>
    <x v="1"/>
  </r>
  <r>
    <n v="5961"/>
    <d v="2025-12-18T00:00:00"/>
    <n v="1002"/>
    <s v="Neha Patel"/>
    <x v="2"/>
    <s v="Corporate"/>
    <x v="3"/>
    <x v="1"/>
    <n v="5"/>
    <n v="350"/>
    <n v="5"/>
    <s v="Cash"/>
    <x v="17"/>
    <x v="1"/>
  </r>
  <r>
    <n v="5193"/>
    <d v="2025-03-06T00:00:00"/>
    <n v="1002"/>
    <s v="Neha Patel"/>
    <x v="2"/>
    <s v="Corporate"/>
    <x v="4"/>
    <x v="2"/>
    <n v="4"/>
    <n v="16000"/>
    <n v="0"/>
    <s v="Credit Card"/>
    <x v="18"/>
    <x v="4"/>
  </r>
  <r>
    <n v="5294"/>
    <d v="2025-04-20T00:00:00"/>
    <n v="1002"/>
    <s v="Neha Patel"/>
    <x v="2"/>
    <s v="Corporate"/>
    <x v="5"/>
    <x v="0"/>
    <n v="4"/>
    <n v="22000"/>
    <n v="0"/>
    <s v="Cash"/>
    <x v="19"/>
    <x v="0"/>
  </r>
  <r>
    <n v="5838"/>
    <d v="2025-11-05T00:00:00"/>
    <n v="1002"/>
    <s v="Neha Patel"/>
    <x v="2"/>
    <s v="Corporate"/>
    <x v="8"/>
    <x v="1"/>
    <n v="4"/>
    <n v="200"/>
    <n v="5"/>
    <s v="Net Banking"/>
    <x v="20"/>
    <x v="10"/>
  </r>
  <r>
    <n v="5871"/>
    <d v="2025-11-17T00:00:00"/>
    <n v="1002"/>
    <s v="Neha Patel"/>
    <x v="2"/>
    <s v="Corporate"/>
    <x v="8"/>
    <x v="1"/>
    <n v="4"/>
    <n v="200"/>
    <n v="0"/>
    <s v="Net Banking"/>
    <x v="21"/>
    <x v="10"/>
  </r>
  <r>
    <n v="5229"/>
    <d v="2025-03-27T00:00:00"/>
    <n v="1002"/>
    <s v="Neha Patel"/>
    <x v="2"/>
    <s v="Corporate"/>
    <x v="3"/>
    <x v="1"/>
    <n v="3"/>
    <n v="350"/>
    <n v="0"/>
    <s v="Net Banking"/>
    <x v="22"/>
    <x v="4"/>
  </r>
  <r>
    <n v="5236"/>
    <d v="2025-03-29T00:00:00"/>
    <n v="1002"/>
    <s v="Neha Patel"/>
    <x v="2"/>
    <s v="Corporate"/>
    <x v="2"/>
    <x v="0"/>
    <n v="3"/>
    <n v="55000"/>
    <n v="0"/>
    <s v="Credit Card"/>
    <x v="23"/>
    <x v="4"/>
  </r>
  <r>
    <n v="5790"/>
    <d v="2025-10-20T00:00:00"/>
    <n v="1002"/>
    <s v="Neha Patel"/>
    <x v="2"/>
    <s v="Corporate"/>
    <x v="2"/>
    <x v="0"/>
    <n v="3"/>
    <n v="55000"/>
    <n v="5"/>
    <s v="Debit Card"/>
    <x v="3"/>
    <x v="11"/>
  </r>
  <r>
    <n v="5290"/>
    <d v="2025-04-18T00:00:00"/>
    <n v="1002"/>
    <s v="Neha Patel"/>
    <x v="2"/>
    <s v="Corporate"/>
    <x v="7"/>
    <x v="0"/>
    <n v="2"/>
    <n v="12000"/>
    <n v="0"/>
    <s v="Debit Card"/>
    <x v="1"/>
    <x v="0"/>
  </r>
  <r>
    <n v="5483"/>
    <d v="2025-07-04T00:00:00"/>
    <n v="1002"/>
    <s v="Neha Patel"/>
    <x v="2"/>
    <s v="Corporate"/>
    <x v="8"/>
    <x v="1"/>
    <n v="2"/>
    <n v="200"/>
    <n v="0"/>
    <s v="Net Banking"/>
    <x v="24"/>
    <x v="2"/>
  </r>
  <r>
    <n v="5099"/>
    <d v="2025-02-06T00:00:00"/>
    <n v="1002"/>
    <s v="Neha Patel"/>
    <x v="2"/>
    <s v="Corporate"/>
    <x v="7"/>
    <x v="0"/>
    <n v="1"/>
    <n v="12000"/>
    <n v="0"/>
    <s v="UPI"/>
    <x v="25"/>
    <x v="3"/>
  </r>
  <r>
    <n v="5481"/>
    <d v="2025-07-04T00:00:00"/>
    <n v="1003"/>
    <s v="Arjun Das"/>
    <x v="2"/>
    <s v="Consumer"/>
    <x v="4"/>
    <x v="2"/>
    <n v="5"/>
    <n v="16000"/>
    <n v="0"/>
    <s v="Debit Card"/>
    <x v="26"/>
    <x v="2"/>
  </r>
  <r>
    <n v="5903"/>
    <d v="2025-12-02T00:00:00"/>
    <n v="1003"/>
    <s v="Arjun Das"/>
    <x v="2"/>
    <s v="Consumer"/>
    <x v="9"/>
    <x v="2"/>
    <n v="5"/>
    <n v="7500"/>
    <n v="0"/>
    <s v="Debit Card"/>
    <x v="27"/>
    <x v="1"/>
  </r>
  <r>
    <n v="5383"/>
    <d v="2025-05-29T00:00:00"/>
    <n v="1003"/>
    <s v="Arjun Das"/>
    <x v="2"/>
    <s v="Consumer"/>
    <x v="3"/>
    <x v="1"/>
    <n v="4"/>
    <n v="350"/>
    <n v="0"/>
    <s v="Net Banking"/>
    <x v="28"/>
    <x v="8"/>
  </r>
  <r>
    <n v="5506"/>
    <d v="2025-07-10T00:00:00"/>
    <n v="1003"/>
    <s v="Arjun Das"/>
    <x v="2"/>
    <s v="Consumer"/>
    <x v="9"/>
    <x v="2"/>
    <n v="4"/>
    <n v="7500"/>
    <n v="0"/>
    <s v="Cash"/>
    <x v="0"/>
    <x v="2"/>
  </r>
  <r>
    <n v="5609"/>
    <d v="2025-08-18T00:00:00"/>
    <n v="1003"/>
    <s v="Arjun Das"/>
    <x v="2"/>
    <s v="Consumer"/>
    <x v="7"/>
    <x v="0"/>
    <n v="4"/>
    <n v="12000"/>
    <n v="5"/>
    <s v="UPI"/>
    <x v="29"/>
    <x v="6"/>
  </r>
  <r>
    <n v="5146"/>
    <d v="2025-02-20T00:00:00"/>
    <n v="1003"/>
    <s v="Arjun Das"/>
    <x v="2"/>
    <s v="Consumer"/>
    <x v="0"/>
    <x v="0"/>
    <n v="3"/>
    <n v="6000"/>
    <n v="5"/>
    <s v="Net Banking"/>
    <x v="30"/>
    <x v="3"/>
  </r>
  <r>
    <n v="5163"/>
    <d v="2025-02-24T00:00:00"/>
    <n v="1003"/>
    <s v="Arjun Das"/>
    <x v="2"/>
    <s v="Consumer"/>
    <x v="3"/>
    <x v="1"/>
    <n v="3"/>
    <n v="350"/>
    <n v="5"/>
    <s v="Credit Card"/>
    <x v="31"/>
    <x v="3"/>
  </r>
  <r>
    <n v="5226"/>
    <d v="2025-03-26T00:00:00"/>
    <n v="1003"/>
    <s v="Arjun Das"/>
    <x v="2"/>
    <s v="Consumer"/>
    <x v="5"/>
    <x v="0"/>
    <n v="3"/>
    <n v="22000"/>
    <n v="0"/>
    <s v="UPI"/>
    <x v="32"/>
    <x v="4"/>
  </r>
  <r>
    <n v="5738"/>
    <d v="2025-10-03T00:00:00"/>
    <n v="1003"/>
    <s v="Arjun Das"/>
    <x v="2"/>
    <s v="Consumer"/>
    <x v="10"/>
    <x v="0"/>
    <n v="3"/>
    <n v="18000"/>
    <n v="15"/>
    <s v="UPI"/>
    <x v="33"/>
    <x v="11"/>
  </r>
  <r>
    <n v="5152"/>
    <d v="2025-02-21T00:00:00"/>
    <n v="1003"/>
    <s v="Arjun Das"/>
    <x v="2"/>
    <s v="Consumer"/>
    <x v="3"/>
    <x v="1"/>
    <n v="2"/>
    <n v="350"/>
    <n v="0"/>
    <s v="Cash"/>
    <x v="6"/>
    <x v="3"/>
  </r>
  <r>
    <n v="5218"/>
    <d v="2025-03-21T00:00:00"/>
    <n v="1003"/>
    <s v="Arjun Das"/>
    <x v="2"/>
    <s v="Consumer"/>
    <x v="10"/>
    <x v="0"/>
    <n v="1"/>
    <n v="18000"/>
    <n v="5"/>
    <s v="Net Banking"/>
    <x v="30"/>
    <x v="4"/>
  </r>
  <r>
    <n v="5571"/>
    <d v="2025-08-04T00:00:00"/>
    <n v="1003"/>
    <s v="Arjun Das"/>
    <x v="2"/>
    <s v="Consumer"/>
    <x v="2"/>
    <x v="0"/>
    <n v="1"/>
    <n v="55000"/>
    <n v="0"/>
    <s v="UPI"/>
    <x v="8"/>
    <x v="6"/>
  </r>
  <r>
    <n v="5676"/>
    <d v="2025-09-12T00:00:00"/>
    <n v="1004"/>
    <s v="Diya Singh"/>
    <x v="0"/>
    <s v="Consumer"/>
    <x v="5"/>
    <x v="0"/>
    <n v="5"/>
    <n v="22000"/>
    <n v="10"/>
    <s v="Debit Card"/>
    <x v="34"/>
    <x v="7"/>
  </r>
  <r>
    <n v="5679"/>
    <d v="2025-09-14T00:00:00"/>
    <n v="1004"/>
    <s v="Diya Singh"/>
    <x v="0"/>
    <s v="Consumer"/>
    <x v="7"/>
    <x v="0"/>
    <n v="5"/>
    <n v="12000"/>
    <n v="0"/>
    <s v="Debit Card"/>
    <x v="35"/>
    <x v="7"/>
  </r>
  <r>
    <n v="5978"/>
    <d v="2025-12-23T00:00:00"/>
    <n v="1004"/>
    <s v="Diya Singh"/>
    <x v="0"/>
    <s v="Consumer"/>
    <x v="1"/>
    <x v="0"/>
    <n v="5"/>
    <n v="2500"/>
    <n v="5"/>
    <s v="Cash"/>
    <x v="36"/>
    <x v="1"/>
  </r>
  <r>
    <n v="5051"/>
    <d v="2025-01-17T00:00:00"/>
    <n v="1004"/>
    <s v="Diya Singh"/>
    <x v="0"/>
    <s v="Consumer"/>
    <x v="3"/>
    <x v="1"/>
    <n v="4"/>
    <n v="350"/>
    <n v="5"/>
    <s v="Cash"/>
    <x v="37"/>
    <x v="9"/>
  </r>
  <r>
    <n v="5164"/>
    <d v="2025-02-24T00:00:00"/>
    <n v="1004"/>
    <s v="Diya Singh"/>
    <x v="0"/>
    <s v="Consumer"/>
    <x v="2"/>
    <x v="0"/>
    <n v="4"/>
    <n v="55000"/>
    <n v="0"/>
    <s v="Net Banking"/>
    <x v="38"/>
    <x v="3"/>
  </r>
  <r>
    <n v="5170"/>
    <d v="2025-02-26T00:00:00"/>
    <n v="1004"/>
    <s v="Diya Singh"/>
    <x v="0"/>
    <s v="Consumer"/>
    <x v="11"/>
    <x v="0"/>
    <n v="4"/>
    <n v="9500"/>
    <n v="15"/>
    <s v="UPI"/>
    <x v="39"/>
    <x v="3"/>
  </r>
  <r>
    <n v="5501"/>
    <d v="2025-07-09T00:00:00"/>
    <n v="1004"/>
    <s v="Diya Singh"/>
    <x v="0"/>
    <s v="Consumer"/>
    <x v="1"/>
    <x v="0"/>
    <n v="4"/>
    <n v="2500"/>
    <n v="0"/>
    <s v="Debit Card"/>
    <x v="40"/>
    <x v="2"/>
  </r>
  <r>
    <n v="5829"/>
    <d v="2025-11-03T00:00:00"/>
    <n v="1004"/>
    <s v="Diya Singh"/>
    <x v="0"/>
    <s v="Consumer"/>
    <x v="8"/>
    <x v="1"/>
    <n v="4"/>
    <n v="200"/>
    <n v="15"/>
    <s v="Credit Card"/>
    <x v="41"/>
    <x v="10"/>
  </r>
  <r>
    <n v="5153"/>
    <d v="2025-02-21T00:00:00"/>
    <n v="1004"/>
    <s v="Diya Singh"/>
    <x v="0"/>
    <s v="Consumer"/>
    <x v="8"/>
    <x v="1"/>
    <n v="3"/>
    <n v="200"/>
    <n v="0"/>
    <s v="Net Banking"/>
    <x v="42"/>
    <x v="3"/>
  </r>
  <r>
    <n v="5315"/>
    <d v="2025-04-26T00:00:00"/>
    <n v="1004"/>
    <s v="Diya Singh"/>
    <x v="0"/>
    <s v="Consumer"/>
    <x v="8"/>
    <x v="1"/>
    <n v="3"/>
    <n v="200"/>
    <n v="0"/>
    <s v="Cash"/>
    <x v="42"/>
    <x v="0"/>
  </r>
  <r>
    <n v="5353"/>
    <d v="2025-05-15T00:00:00"/>
    <n v="1004"/>
    <s v="Diya Singh"/>
    <x v="0"/>
    <s v="Consumer"/>
    <x v="0"/>
    <x v="0"/>
    <n v="2"/>
    <n v="6000"/>
    <n v="0"/>
    <s v="Credit Card"/>
    <x v="25"/>
    <x v="8"/>
  </r>
  <r>
    <n v="5589"/>
    <d v="2025-08-10T00:00:00"/>
    <n v="1004"/>
    <s v="Diya Singh"/>
    <x v="0"/>
    <s v="Consumer"/>
    <x v="3"/>
    <x v="1"/>
    <n v="2"/>
    <n v="350"/>
    <n v="0"/>
    <s v="Net Banking"/>
    <x v="6"/>
    <x v="6"/>
  </r>
  <r>
    <n v="5111"/>
    <d v="2025-02-09T00:00:00"/>
    <n v="1004"/>
    <s v="Diya Singh"/>
    <x v="0"/>
    <s v="Consumer"/>
    <x v="2"/>
    <x v="0"/>
    <n v="1"/>
    <n v="55000"/>
    <n v="5"/>
    <s v="UPI"/>
    <x v="43"/>
    <x v="3"/>
  </r>
  <r>
    <n v="5156"/>
    <d v="2025-02-22T00:00:00"/>
    <n v="1004"/>
    <s v="Diya Singh"/>
    <x v="0"/>
    <s v="Consumer"/>
    <x v="7"/>
    <x v="0"/>
    <n v="1"/>
    <n v="12000"/>
    <n v="0"/>
    <s v="Credit Card"/>
    <x v="25"/>
    <x v="3"/>
  </r>
  <r>
    <n v="5342"/>
    <d v="2025-05-09T00:00:00"/>
    <n v="1004"/>
    <s v="Diya Singh"/>
    <x v="0"/>
    <s v="Consumer"/>
    <x v="6"/>
    <x v="2"/>
    <n v="1"/>
    <n v="900"/>
    <n v="0"/>
    <s v="Cash"/>
    <x v="44"/>
    <x v="8"/>
  </r>
  <r>
    <n v="5683"/>
    <d v="2025-09-16T00:00:00"/>
    <n v="1004"/>
    <s v="Diya Singh"/>
    <x v="0"/>
    <s v="Consumer"/>
    <x v="9"/>
    <x v="2"/>
    <n v="1"/>
    <n v="7500"/>
    <n v="0"/>
    <s v="Debit Card"/>
    <x v="2"/>
    <x v="7"/>
  </r>
  <r>
    <n v="5702"/>
    <d v="2025-09-23T00:00:00"/>
    <n v="1004"/>
    <s v="Diya Singh"/>
    <x v="0"/>
    <s v="Consumer"/>
    <x v="7"/>
    <x v="0"/>
    <n v="1"/>
    <n v="12000"/>
    <n v="0"/>
    <s v="Cash"/>
    <x v="25"/>
    <x v="7"/>
  </r>
  <r>
    <n v="5551"/>
    <d v="2025-07-26T00:00:00"/>
    <n v="1005"/>
    <s v="Karthik Sharma"/>
    <x v="3"/>
    <s v="Consumer"/>
    <x v="7"/>
    <x v="0"/>
    <n v="5"/>
    <n v="12000"/>
    <n v="10"/>
    <s v="Credit Card"/>
    <x v="45"/>
    <x v="2"/>
  </r>
  <r>
    <n v="5611"/>
    <d v="2025-08-19T00:00:00"/>
    <n v="1005"/>
    <s v="Karthik Sharma"/>
    <x v="3"/>
    <s v="Consumer"/>
    <x v="0"/>
    <x v="0"/>
    <n v="5"/>
    <n v="6000"/>
    <n v="0"/>
    <s v="UPI"/>
    <x v="0"/>
    <x v="6"/>
  </r>
  <r>
    <n v="5725"/>
    <d v="2025-09-28T00:00:00"/>
    <n v="1005"/>
    <s v="Karthik Sharma"/>
    <x v="3"/>
    <s v="Consumer"/>
    <x v="7"/>
    <x v="0"/>
    <n v="5"/>
    <n v="12000"/>
    <n v="0"/>
    <s v="UPI"/>
    <x v="35"/>
    <x v="7"/>
  </r>
  <r>
    <n v="5271"/>
    <d v="2025-04-12T00:00:00"/>
    <n v="1005"/>
    <s v="Karthik Sharma"/>
    <x v="3"/>
    <s v="Consumer"/>
    <x v="8"/>
    <x v="1"/>
    <n v="4"/>
    <n v="200"/>
    <n v="15"/>
    <s v="Cash"/>
    <x v="41"/>
    <x v="0"/>
  </r>
  <r>
    <n v="5653"/>
    <d v="2025-09-02T00:00:00"/>
    <n v="1005"/>
    <s v="Karthik Sharma"/>
    <x v="3"/>
    <s v="Consumer"/>
    <x v="10"/>
    <x v="0"/>
    <n v="4"/>
    <n v="18000"/>
    <n v="0"/>
    <s v="Net Banking"/>
    <x v="46"/>
    <x v="7"/>
  </r>
  <r>
    <n v="5932"/>
    <d v="2025-12-08T00:00:00"/>
    <n v="1005"/>
    <s v="Karthik Sharma"/>
    <x v="3"/>
    <s v="Consumer"/>
    <x v="1"/>
    <x v="0"/>
    <n v="3"/>
    <n v="2500"/>
    <n v="10"/>
    <s v="Credit Card"/>
    <x v="47"/>
    <x v="1"/>
  </r>
  <r>
    <n v="5288"/>
    <d v="2025-04-17T00:00:00"/>
    <n v="1005"/>
    <s v="Karthik Sharma"/>
    <x v="3"/>
    <s v="Consumer"/>
    <x v="3"/>
    <x v="1"/>
    <n v="2"/>
    <n v="350"/>
    <n v="0"/>
    <s v="UPI"/>
    <x v="6"/>
    <x v="0"/>
  </r>
  <r>
    <n v="5534"/>
    <d v="2025-07-18T00:00:00"/>
    <n v="1005"/>
    <s v="Karthik Sharma"/>
    <x v="3"/>
    <s v="Consumer"/>
    <x v="1"/>
    <x v="0"/>
    <n v="2"/>
    <n v="2500"/>
    <n v="0"/>
    <s v="Debit Card"/>
    <x v="7"/>
    <x v="2"/>
  </r>
  <r>
    <n v="5061"/>
    <d v="2025-01-21T00:00:00"/>
    <n v="1005"/>
    <s v="Karthik Sharma"/>
    <x v="3"/>
    <s v="Consumer"/>
    <x v="8"/>
    <x v="1"/>
    <n v="1"/>
    <n v="200"/>
    <n v="15"/>
    <s v="UPI"/>
    <x v="48"/>
    <x v="9"/>
  </r>
  <r>
    <n v="5469"/>
    <d v="2025-06-29T00:00:00"/>
    <n v="1005"/>
    <s v="Karthik Sharma"/>
    <x v="3"/>
    <s v="Consumer"/>
    <x v="7"/>
    <x v="0"/>
    <n v="1"/>
    <n v="12000"/>
    <n v="0"/>
    <s v="Credit Card"/>
    <x v="25"/>
    <x v="5"/>
  </r>
  <r>
    <n v="5243"/>
    <d v="2025-03-30T00:00:00"/>
    <n v="1006"/>
    <s v="Rahul Rao"/>
    <x v="2"/>
    <s v="Corporate"/>
    <x v="5"/>
    <x v="0"/>
    <n v="5"/>
    <n v="22000"/>
    <n v="0"/>
    <s v="Credit Card"/>
    <x v="49"/>
    <x v="4"/>
  </r>
  <r>
    <n v="5966"/>
    <d v="2025-12-19T00:00:00"/>
    <n v="1006"/>
    <s v="Rahul Rao"/>
    <x v="2"/>
    <s v="Corporate"/>
    <x v="7"/>
    <x v="0"/>
    <n v="5"/>
    <n v="12000"/>
    <n v="5"/>
    <s v="Debit Card"/>
    <x v="14"/>
    <x v="1"/>
  </r>
  <r>
    <n v="5390"/>
    <d v="2025-06-01T00:00:00"/>
    <n v="1006"/>
    <s v="Rahul Rao"/>
    <x v="2"/>
    <s v="Corporate"/>
    <x v="9"/>
    <x v="2"/>
    <n v="4"/>
    <n v="7500"/>
    <n v="5"/>
    <s v="Net Banking"/>
    <x v="50"/>
    <x v="5"/>
  </r>
  <r>
    <n v="5028"/>
    <d v="2025-01-09T00:00:00"/>
    <n v="1006"/>
    <s v="Rahul Rao"/>
    <x v="2"/>
    <s v="Corporate"/>
    <x v="0"/>
    <x v="0"/>
    <n v="3"/>
    <n v="6000"/>
    <n v="10"/>
    <s v="Cash"/>
    <x v="51"/>
    <x v="9"/>
  </r>
  <r>
    <n v="5421"/>
    <d v="2025-06-11T00:00:00"/>
    <n v="1006"/>
    <s v="Rahul Rao"/>
    <x v="2"/>
    <s v="Corporate"/>
    <x v="9"/>
    <x v="2"/>
    <n v="3"/>
    <n v="7500"/>
    <n v="0"/>
    <s v="UPI"/>
    <x v="52"/>
    <x v="5"/>
  </r>
  <r>
    <n v="5782"/>
    <d v="2025-10-19T00:00:00"/>
    <n v="1006"/>
    <s v="Rahul Rao"/>
    <x v="2"/>
    <s v="Corporate"/>
    <x v="3"/>
    <x v="1"/>
    <n v="3"/>
    <n v="350"/>
    <n v="5"/>
    <s v="Debit Card"/>
    <x v="31"/>
    <x v="11"/>
  </r>
  <r>
    <n v="5333"/>
    <d v="2025-05-02T00:00:00"/>
    <n v="1006"/>
    <s v="Rahul Rao"/>
    <x v="2"/>
    <s v="Corporate"/>
    <x v="3"/>
    <x v="1"/>
    <n v="2"/>
    <n v="350"/>
    <n v="0"/>
    <s v="Net Banking"/>
    <x v="6"/>
    <x v="8"/>
  </r>
  <r>
    <n v="5438"/>
    <d v="2025-06-17T00:00:00"/>
    <n v="1006"/>
    <s v="Rahul Rao"/>
    <x v="2"/>
    <s v="Corporate"/>
    <x v="3"/>
    <x v="1"/>
    <n v="2"/>
    <n v="350"/>
    <n v="0"/>
    <s v="Cash"/>
    <x v="6"/>
    <x v="5"/>
  </r>
  <r>
    <n v="5509"/>
    <d v="2025-07-11T00:00:00"/>
    <n v="1006"/>
    <s v="Rahul Rao"/>
    <x v="2"/>
    <s v="Corporate"/>
    <x v="0"/>
    <x v="0"/>
    <n v="2"/>
    <n v="6000"/>
    <n v="15"/>
    <s v="UPI"/>
    <x v="53"/>
    <x v="2"/>
  </r>
  <r>
    <n v="5733"/>
    <d v="2025-10-01T00:00:00"/>
    <n v="1006"/>
    <s v="Rahul Rao"/>
    <x v="2"/>
    <s v="Corporate"/>
    <x v="9"/>
    <x v="2"/>
    <n v="2"/>
    <n v="7500"/>
    <n v="15"/>
    <s v="Cash"/>
    <x v="54"/>
    <x v="11"/>
  </r>
  <r>
    <n v="5231"/>
    <d v="2025-03-27T00:00:00"/>
    <n v="1006"/>
    <s v="Rahul Rao"/>
    <x v="2"/>
    <s v="Corporate"/>
    <x v="9"/>
    <x v="2"/>
    <n v="1"/>
    <n v="7500"/>
    <n v="0"/>
    <s v="Debit Card"/>
    <x v="2"/>
    <x v="4"/>
  </r>
  <r>
    <n v="5488"/>
    <d v="2025-07-05T00:00:00"/>
    <n v="1006"/>
    <s v="Rahul Rao"/>
    <x v="2"/>
    <s v="Corporate"/>
    <x v="7"/>
    <x v="0"/>
    <n v="1"/>
    <n v="12000"/>
    <n v="0"/>
    <s v="Debit Card"/>
    <x v="25"/>
    <x v="2"/>
  </r>
  <r>
    <n v="5542"/>
    <d v="2025-07-22T00:00:00"/>
    <n v="1006"/>
    <s v="Rahul Rao"/>
    <x v="2"/>
    <s v="Corporate"/>
    <x v="7"/>
    <x v="0"/>
    <n v="1"/>
    <n v="12000"/>
    <n v="0"/>
    <s v="Credit Card"/>
    <x v="25"/>
    <x v="2"/>
  </r>
  <r>
    <n v="5631"/>
    <d v="2025-08-25T00:00:00"/>
    <n v="1006"/>
    <s v="Rahul Rao"/>
    <x v="2"/>
    <s v="Corporate"/>
    <x v="10"/>
    <x v="0"/>
    <n v="1"/>
    <n v="18000"/>
    <n v="5"/>
    <s v="Credit Card"/>
    <x v="30"/>
    <x v="6"/>
  </r>
  <r>
    <n v="5136"/>
    <d v="2025-02-16T00:00:00"/>
    <n v="1007"/>
    <s v="Suresh Das"/>
    <x v="4"/>
    <s v="Consumer"/>
    <x v="7"/>
    <x v="0"/>
    <n v="5"/>
    <n v="12000"/>
    <n v="5"/>
    <s v="Net Banking"/>
    <x v="14"/>
    <x v="3"/>
  </r>
  <r>
    <n v="5150"/>
    <d v="2025-02-21T00:00:00"/>
    <n v="1007"/>
    <s v="Suresh Das"/>
    <x v="4"/>
    <s v="Consumer"/>
    <x v="0"/>
    <x v="0"/>
    <n v="5"/>
    <n v="6000"/>
    <n v="10"/>
    <s v="Net Banking"/>
    <x v="55"/>
    <x v="3"/>
  </r>
  <r>
    <n v="5915"/>
    <d v="2025-12-04T00:00:00"/>
    <n v="1007"/>
    <s v="Suresh Das"/>
    <x v="4"/>
    <s v="Consumer"/>
    <x v="9"/>
    <x v="2"/>
    <n v="5"/>
    <n v="7500"/>
    <n v="15"/>
    <s v="UPI"/>
    <x v="56"/>
    <x v="1"/>
  </r>
  <r>
    <n v="5944"/>
    <d v="2025-12-14T00:00:00"/>
    <n v="1007"/>
    <s v="Suresh Das"/>
    <x v="4"/>
    <s v="Consumer"/>
    <x v="1"/>
    <x v="0"/>
    <n v="5"/>
    <n v="2500"/>
    <n v="0"/>
    <s v="Cash"/>
    <x v="16"/>
    <x v="1"/>
  </r>
  <r>
    <n v="5965"/>
    <d v="2025-12-19T00:00:00"/>
    <n v="1007"/>
    <s v="Suresh Das"/>
    <x v="4"/>
    <s v="Consumer"/>
    <x v="2"/>
    <x v="0"/>
    <n v="5"/>
    <n v="55000"/>
    <n v="5"/>
    <s v="UPI"/>
    <x v="57"/>
    <x v="1"/>
  </r>
  <r>
    <n v="5021"/>
    <d v="2025-01-06T00:00:00"/>
    <n v="1007"/>
    <s v="Suresh Das"/>
    <x v="4"/>
    <s v="Consumer"/>
    <x v="0"/>
    <x v="0"/>
    <n v="4"/>
    <n v="6000"/>
    <n v="5"/>
    <s v="Credit Card"/>
    <x v="58"/>
    <x v="9"/>
  </r>
  <r>
    <n v="5059"/>
    <d v="2025-01-20T00:00:00"/>
    <n v="1007"/>
    <s v="Suresh Das"/>
    <x v="4"/>
    <s v="Consumer"/>
    <x v="1"/>
    <x v="0"/>
    <n v="4"/>
    <n v="2500"/>
    <n v="0"/>
    <s v="Net Banking"/>
    <x v="40"/>
    <x v="9"/>
  </r>
  <r>
    <n v="5189"/>
    <d v="2025-03-05T00:00:00"/>
    <n v="1007"/>
    <s v="Suresh Das"/>
    <x v="4"/>
    <s v="Consumer"/>
    <x v="11"/>
    <x v="0"/>
    <n v="4"/>
    <n v="9500"/>
    <n v="0"/>
    <s v="UPI"/>
    <x v="59"/>
    <x v="4"/>
  </r>
  <r>
    <n v="5238"/>
    <d v="2025-03-29T00:00:00"/>
    <n v="1007"/>
    <s v="Suresh Das"/>
    <x v="4"/>
    <s v="Consumer"/>
    <x v="1"/>
    <x v="0"/>
    <n v="4"/>
    <n v="2500"/>
    <n v="15"/>
    <s v="Cash"/>
    <x v="60"/>
    <x v="4"/>
  </r>
  <r>
    <n v="5430"/>
    <d v="2025-06-14T00:00:00"/>
    <n v="1007"/>
    <s v="Suresh Das"/>
    <x v="4"/>
    <s v="Consumer"/>
    <x v="11"/>
    <x v="0"/>
    <n v="4"/>
    <n v="9500"/>
    <n v="0"/>
    <s v="Net Banking"/>
    <x v="59"/>
    <x v="5"/>
  </r>
  <r>
    <n v="5580"/>
    <d v="2025-08-07T00:00:00"/>
    <n v="1007"/>
    <s v="Suresh Das"/>
    <x v="4"/>
    <s v="Consumer"/>
    <x v="0"/>
    <x v="0"/>
    <n v="4"/>
    <n v="6000"/>
    <n v="0"/>
    <s v="UPI"/>
    <x v="1"/>
    <x v="6"/>
  </r>
  <r>
    <n v="5914"/>
    <d v="2025-12-04T00:00:00"/>
    <n v="1007"/>
    <s v="Suresh Das"/>
    <x v="4"/>
    <s v="Consumer"/>
    <x v="5"/>
    <x v="0"/>
    <n v="4"/>
    <n v="22000"/>
    <n v="0"/>
    <s v="Cash"/>
    <x v="19"/>
    <x v="1"/>
  </r>
  <r>
    <n v="5567"/>
    <d v="2025-08-03T00:00:00"/>
    <n v="1007"/>
    <s v="Suresh Das"/>
    <x v="4"/>
    <s v="Consumer"/>
    <x v="0"/>
    <x v="0"/>
    <n v="3"/>
    <n v="6000"/>
    <n v="0"/>
    <s v="Cash"/>
    <x v="61"/>
    <x v="6"/>
  </r>
  <r>
    <n v="5279"/>
    <d v="2025-04-14T00:00:00"/>
    <n v="1007"/>
    <s v="Suresh Das"/>
    <x v="4"/>
    <s v="Consumer"/>
    <x v="6"/>
    <x v="2"/>
    <n v="2"/>
    <n v="900"/>
    <n v="0"/>
    <s v="Cash"/>
    <x v="62"/>
    <x v="0"/>
  </r>
  <r>
    <n v="5516"/>
    <d v="2025-07-13T00:00:00"/>
    <n v="1007"/>
    <s v="Suresh Das"/>
    <x v="4"/>
    <s v="Consumer"/>
    <x v="11"/>
    <x v="0"/>
    <n v="2"/>
    <n v="9500"/>
    <n v="5"/>
    <s v="Net Banking"/>
    <x v="63"/>
    <x v="2"/>
  </r>
  <r>
    <n v="5877"/>
    <d v="2025-11-20T00:00:00"/>
    <n v="1007"/>
    <s v="Suresh Das"/>
    <x v="4"/>
    <s v="Consumer"/>
    <x v="6"/>
    <x v="2"/>
    <n v="2"/>
    <n v="900"/>
    <n v="0"/>
    <s v="UPI"/>
    <x v="62"/>
    <x v="10"/>
  </r>
  <r>
    <n v="5166"/>
    <d v="2025-02-25T00:00:00"/>
    <n v="1007"/>
    <s v="Suresh Das"/>
    <x v="4"/>
    <s v="Consumer"/>
    <x v="8"/>
    <x v="1"/>
    <n v="1"/>
    <n v="200"/>
    <n v="5"/>
    <s v="Debit Card"/>
    <x v="64"/>
    <x v="3"/>
  </r>
  <r>
    <n v="5184"/>
    <d v="2025-03-03T00:00:00"/>
    <n v="1007"/>
    <s v="Suresh Das"/>
    <x v="4"/>
    <s v="Consumer"/>
    <x v="7"/>
    <x v="0"/>
    <n v="1"/>
    <n v="12000"/>
    <n v="10"/>
    <s v="UPI"/>
    <x v="65"/>
    <x v="4"/>
  </r>
  <r>
    <n v="5527"/>
    <d v="2025-07-17T00:00:00"/>
    <n v="1007"/>
    <s v="Suresh Das"/>
    <x v="4"/>
    <s v="Consumer"/>
    <x v="8"/>
    <x v="1"/>
    <n v="1"/>
    <n v="200"/>
    <n v="10"/>
    <s v="Credit Card"/>
    <x v="66"/>
    <x v="2"/>
  </r>
  <r>
    <n v="5555"/>
    <d v="2025-07-28T00:00:00"/>
    <n v="1007"/>
    <s v="Suresh Das"/>
    <x v="4"/>
    <s v="Consumer"/>
    <x v="4"/>
    <x v="2"/>
    <n v="1"/>
    <n v="16000"/>
    <n v="15"/>
    <s v="Cash"/>
    <x v="9"/>
    <x v="2"/>
  </r>
  <r>
    <n v="5706"/>
    <d v="2025-09-24T00:00:00"/>
    <n v="1008"/>
    <s v="Suresh Das"/>
    <x v="3"/>
    <s v="Consumer"/>
    <x v="7"/>
    <x v="0"/>
    <n v="5"/>
    <n v="12000"/>
    <n v="0"/>
    <s v="Net Banking"/>
    <x v="35"/>
    <x v="7"/>
  </r>
  <r>
    <n v="5319"/>
    <d v="2025-04-26T00:00:00"/>
    <n v="1008"/>
    <s v="Suresh Das"/>
    <x v="3"/>
    <s v="Consumer"/>
    <x v="8"/>
    <x v="1"/>
    <n v="4"/>
    <n v="200"/>
    <n v="5"/>
    <s v="Credit Card"/>
    <x v="20"/>
    <x v="0"/>
  </r>
  <r>
    <n v="5505"/>
    <d v="2025-07-10T00:00:00"/>
    <n v="1008"/>
    <s v="Suresh Das"/>
    <x v="3"/>
    <s v="Consumer"/>
    <x v="7"/>
    <x v="0"/>
    <n v="4"/>
    <n v="12000"/>
    <n v="0"/>
    <s v="Cash"/>
    <x v="67"/>
    <x v="2"/>
  </r>
  <r>
    <n v="5576"/>
    <d v="2025-08-06T00:00:00"/>
    <n v="1008"/>
    <s v="Suresh Das"/>
    <x v="3"/>
    <s v="Consumer"/>
    <x v="5"/>
    <x v="0"/>
    <n v="4"/>
    <n v="22000"/>
    <n v="10"/>
    <s v="Cash"/>
    <x v="68"/>
    <x v="6"/>
  </r>
  <r>
    <n v="5646"/>
    <d v="2025-08-30T00:00:00"/>
    <n v="1008"/>
    <s v="Suresh Das"/>
    <x v="3"/>
    <s v="Consumer"/>
    <x v="1"/>
    <x v="0"/>
    <n v="4"/>
    <n v="2500"/>
    <n v="15"/>
    <s v="Debit Card"/>
    <x v="60"/>
    <x v="6"/>
  </r>
  <r>
    <n v="5969"/>
    <d v="2025-12-20T00:00:00"/>
    <n v="1008"/>
    <s v="Suresh Das"/>
    <x v="3"/>
    <s v="Consumer"/>
    <x v="5"/>
    <x v="0"/>
    <n v="4"/>
    <n v="22000"/>
    <n v="0"/>
    <s v="UPI"/>
    <x v="19"/>
    <x v="1"/>
  </r>
  <r>
    <n v="5043"/>
    <d v="2025-01-16T00:00:00"/>
    <n v="1008"/>
    <s v="Suresh Das"/>
    <x v="3"/>
    <s v="Consumer"/>
    <x v="11"/>
    <x v="0"/>
    <n v="3"/>
    <n v="9500"/>
    <n v="10"/>
    <s v="Net Banking"/>
    <x v="69"/>
    <x v="9"/>
  </r>
  <r>
    <n v="5310"/>
    <d v="2025-04-25T00:00:00"/>
    <n v="1008"/>
    <s v="Suresh Das"/>
    <x v="3"/>
    <s v="Consumer"/>
    <x v="0"/>
    <x v="0"/>
    <n v="3"/>
    <n v="6000"/>
    <n v="15"/>
    <s v="UPI"/>
    <x v="70"/>
    <x v="0"/>
  </r>
  <r>
    <n v="5628"/>
    <d v="2025-08-23T00:00:00"/>
    <n v="1008"/>
    <s v="Suresh Das"/>
    <x v="3"/>
    <s v="Consumer"/>
    <x v="9"/>
    <x v="2"/>
    <n v="3"/>
    <n v="7500"/>
    <n v="0"/>
    <s v="Credit Card"/>
    <x v="52"/>
    <x v="6"/>
  </r>
  <r>
    <n v="5780"/>
    <d v="2025-10-18T00:00:00"/>
    <n v="1008"/>
    <s v="Suresh Das"/>
    <x v="3"/>
    <s v="Consumer"/>
    <x v="9"/>
    <x v="2"/>
    <n v="3"/>
    <n v="7500"/>
    <n v="10"/>
    <s v="Net Banking"/>
    <x v="71"/>
    <x v="11"/>
  </r>
  <r>
    <n v="5785"/>
    <d v="2025-10-20T00:00:00"/>
    <n v="1008"/>
    <s v="Suresh Das"/>
    <x v="3"/>
    <s v="Consumer"/>
    <x v="8"/>
    <x v="1"/>
    <n v="3"/>
    <n v="200"/>
    <n v="0"/>
    <s v="Cash"/>
    <x v="42"/>
    <x v="11"/>
  </r>
  <r>
    <n v="5804"/>
    <d v="2025-10-27T00:00:00"/>
    <n v="1008"/>
    <s v="Suresh Das"/>
    <x v="3"/>
    <s v="Consumer"/>
    <x v="7"/>
    <x v="0"/>
    <n v="3"/>
    <n v="12000"/>
    <n v="0"/>
    <s v="Cash"/>
    <x v="72"/>
    <x v="11"/>
  </r>
  <r>
    <n v="5305"/>
    <d v="2025-04-24T00:00:00"/>
    <n v="1008"/>
    <s v="Suresh Das"/>
    <x v="3"/>
    <s v="Consumer"/>
    <x v="0"/>
    <x v="0"/>
    <n v="2"/>
    <n v="6000"/>
    <n v="0"/>
    <s v="UPI"/>
    <x v="25"/>
    <x v="0"/>
  </r>
  <r>
    <n v="5330"/>
    <d v="2025-05-01T00:00:00"/>
    <n v="1008"/>
    <s v="Suresh Das"/>
    <x v="3"/>
    <s v="Consumer"/>
    <x v="4"/>
    <x v="2"/>
    <n v="2"/>
    <n v="16000"/>
    <n v="10"/>
    <s v="Debit Card"/>
    <x v="73"/>
    <x v="8"/>
  </r>
  <r>
    <n v="5345"/>
    <d v="2025-05-12T00:00:00"/>
    <n v="1008"/>
    <s v="Suresh Das"/>
    <x v="3"/>
    <s v="Consumer"/>
    <x v="9"/>
    <x v="2"/>
    <n v="1"/>
    <n v="7500"/>
    <n v="5"/>
    <s v="UPI"/>
    <x v="74"/>
    <x v="8"/>
  </r>
  <r>
    <n v="5476"/>
    <d v="2025-07-02T00:00:00"/>
    <n v="1008"/>
    <s v="Suresh Das"/>
    <x v="3"/>
    <s v="Consumer"/>
    <x v="8"/>
    <x v="1"/>
    <n v="1"/>
    <n v="200"/>
    <n v="0"/>
    <s v="Net Banking"/>
    <x v="75"/>
    <x v="2"/>
  </r>
  <r>
    <n v="5626"/>
    <d v="2025-08-22T00:00:00"/>
    <n v="1008"/>
    <s v="Suresh Das"/>
    <x v="3"/>
    <s v="Consumer"/>
    <x v="3"/>
    <x v="1"/>
    <n v="1"/>
    <n v="350"/>
    <n v="10"/>
    <s v="Cash"/>
    <x v="76"/>
    <x v="6"/>
  </r>
  <r>
    <n v="5663"/>
    <d v="2025-09-06T00:00:00"/>
    <n v="1009"/>
    <s v="Rahul Reddy"/>
    <x v="2"/>
    <s v="Consumer"/>
    <x v="8"/>
    <x v="1"/>
    <n v="5"/>
    <n v="200"/>
    <n v="0"/>
    <s v="Debit Card"/>
    <x v="15"/>
    <x v="7"/>
  </r>
  <r>
    <n v="5808"/>
    <d v="2025-10-29T00:00:00"/>
    <n v="1009"/>
    <s v="Rahul Reddy"/>
    <x v="2"/>
    <s v="Consumer"/>
    <x v="5"/>
    <x v="0"/>
    <n v="5"/>
    <n v="22000"/>
    <n v="15"/>
    <s v="Debit Card"/>
    <x v="77"/>
    <x v="11"/>
  </r>
  <r>
    <n v="5145"/>
    <d v="2025-02-19T00:00:00"/>
    <n v="1009"/>
    <s v="Rahul Reddy"/>
    <x v="2"/>
    <s v="Consumer"/>
    <x v="0"/>
    <x v="0"/>
    <n v="4"/>
    <n v="6000"/>
    <n v="10"/>
    <s v="Cash"/>
    <x v="78"/>
    <x v="3"/>
  </r>
  <r>
    <n v="5275"/>
    <d v="2025-04-13T00:00:00"/>
    <n v="1009"/>
    <s v="Rahul Reddy"/>
    <x v="2"/>
    <s v="Consumer"/>
    <x v="0"/>
    <x v="0"/>
    <n v="4"/>
    <n v="6000"/>
    <n v="0"/>
    <s v="Debit Card"/>
    <x v="1"/>
    <x v="0"/>
  </r>
  <r>
    <n v="5763"/>
    <d v="2025-10-12T00:00:00"/>
    <n v="1009"/>
    <s v="Rahul Reddy"/>
    <x v="2"/>
    <s v="Consumer"/>
    <x v="7"/>
    <x v="0"/>
    <n v="4"/>
    <n v="12000"/>
    <n v="0"/>
    <s v="UPI"/>
    <x v="67"/>
    <x v="11"/>
  </r>
  <r>
    <n v="5907"/>
    <d v="2025-12-03T00:00:00"/>
    <n v="1009"/>
    <s v="Rahul Reddy"/>
    <x v="2"/>
    <s v="Consumer"/>
    <x v="7"/>
    <x v="0"/>
    <n v="4"/>
    <n v="12000"/>
    <n v="0"/>
    <s v="Debit Card"/>
    <x v="67"/>
    <x v="1"/>
  </r>
  <r>
    <n v="5042"/>
    <d v="2025-01-15T00:00:00"/>
    <n v="1009"/>
    <s v="Rahul Reddy"/>
    <x v="2"/>
    <s v="Consumer"/>
    <x v="0"/>
    <x v="0"/>
    <n v="3"/>
    <n v="6000"/>
    <n v="0"/>
    <s v="Credit Card"/>
    <x v="61"/>
    <x v="9"/>
  </r>
  <r>
    <n v="5377"/>
    <d v="2025-05-26T00:00:00"/>
    <n v="1009"/>
    <s v="Rahul Reddy"/>
    <x v="2"/>
    <s v="Consumer"/>
    <x v="0"/>
    <x v="0"/>
    <n v="3"/>
    <n v="6000"/>
    <n v="0"/>
    <s v="Cash"/>
    <x v="61"/>
    <x v="8"/>
  </r>
  <r>
    <n v="5519"/>
    <d v="2025-07-14T00:00:00"/>
    <n v="1009"/>
    <s v="Rahul Reddy"/>
    <x v="2"/>
    <s v="Consumer"/>
    <x v="5"/>
    <x v="0"/>
    <n v="3"/>
    <n v="22000"/>
    <n v="0"/>
    <s v="Cash"/>
    <x v="32"/>
    <x v="2"/>
  </r>
  <r>
    <n v="5536"/>
    <d v="2025-07-19T00:00:00"/>
    <n v="1009"/>
    <s v="Rahul Reddy"/>
    <x v="2"/>
    <s v="Consumer"/>
    <x v="1"/>
    <x v="0"/>
    <n v="3"/>
    <n v="2500"/>
    <n v="0"/>
    <s v="Debit Card"/>
    <x v="2"/>
    <x v="2"/>
  </r>
  <r>
    <n v="5595"/>
    <d v="2025-08-13T00:00:00"/>
    <n v="1009"/>
    <s v="Rahul Reddy"/>
    <x v="2"/>
    <s v="Consumer"/>
    <x v="8"/>
    <x v="1"/>
    <n v="3"/>
    <n v="200"/>
    <n v="0"/>
    <s v="Cash"/>
    <x v="42"/>
    <x v="6"/>
  </r>
  <r>
    <n v="5058"/>
    <d v="2025-01-20T00:00:00"/>
    <n v="1009"/>
    <s v="Rahul Reddy"/>
    <x v="2"/>
    <s v="Consumer"/>
    <x v="4"/>
    <x v="2"/>
    <n v="2"/>
    <n v="16000"/>
    <n v="0"/>
    <s v="Credit Card"/>
    <x v="5"/>
    <x v="9"/>
  </r>
  <r>
    <n v="5307"/>
    <d v="2025-04-24T00:00:00"/>
    <n v="1009"/>
    <s v="Rahul Reddy"/>
    <x v="2"/>
    <s v="Consumer"/>
    <x v="1"/>
    <x v="0"/>
    <n v="2"/>
    <n v="2500"/>
    <n v="0"/>
    <s v="Debit Card"/>
    <x v="7"/>
    <x v="0"/>
  </r>
  <r>
    <n v="5312"/>
    <d v="2025-04-25T00:00:00"/>
    <n v="1009"/>
    <s v="Rahul Reddy"/>
    <x v="2"/>
    <s v="Consumer"/>
    <x v="3"/>
    <x v="1"/>
    <n v="2"/>
    <n v="350"/>
    <n v="15"/>
    <s v="UPI"/>
    <x v="79"/>
    <x v="0"/>
  </r>
  <r>
    <n v="5635"/>
    <d v="2025-08-26T00:00:00"/>
    <n v="1009"/>
    <s v="Rahul Reddy"/>
    <x v="2"/>
    <s v="Consumer"/>
    <x v="1"/>
    <x v="0"/>
    <n v="2"/>
    <n v="2500"/>
    <n v="0"/>
    <s v="Cash"/>
    <x v="7"/>
    <x v="6"/>
  </r>
  <r>
    <n v="5228"/>
    <d v="2025-03-26T00:00:00"/>
    <n v="1009"/>
    <s v="Rahul Reddy"/>
    <x v="2"/>
    <s v="Consumer"/>
    <x v="11"/>
    <x v="0"/>
    <n v="1"/>
    <n v="9500"/>
    <n v="0"/>
    <s v="Credit Card"/>
    <x v="80"/>
    <x v="4"/>
  </r>
  <r>
    <n v="5398"/>
    <d v="2025-06-02T00:00:00"/>
    <n v="1009"/>
    <s v="Rahul Reddy"/>
    <x v="2"/>
    <s v="Consumer"/>
    <x v="8"/>
    <x v="1"/>
    <n v="1"/>
    <n v="200"/>
    <n v="5"/>
    <s v="Credit Card"/>
    <x v="64"/>
    <x v="5"/>
  </r>
  <r>
    <n v="5910"/>
    <d v="2025-12-04T00:00:00"/>
    <n v="1009"/>
    <s v="Rahul Reddy"/>
    <x v="2"/>
    <s v="Consumer"/>
    <x v="5"/>
    <x v="0"/>
    <n v="1"/>
    <n v="22000"/>
    <n v="0"/>
    <s v="Net Banking"/>
    <x v="10"/>
    <x v="1"/>
  </r>
  <r>
    <n v="5934"/>
    <d v="2025-12-10T00:00:00"/>
    <n v="1009"/>
    <s v="Rahul Reddy"/>
    <x v="2"/>
    <s v="Consumer"/>
    <x v="10"/>
    <x v="0"/>
    <n v="1"/>
    <n v="18000"/>
    <n v="5"/>
    <s v="Debit Card"/>
    <x v="30"/>
    <x v="1"/>
  </r>
  <r>
    <n v="5106"/>
    <d v="2025-02-08T00:00:00"/>
    <n v="1010"/>
    <s v="Imran Patel"/>
    <x v="2"/>
    <s v="Small Business"/>
    <x v="11"/>
    <x v="0"/>
    <n v="5"/>
    <n v="9500"/>
    <n v="10"/>
    <s v="Debit Card"/>
    <x v="81"/>
    <x v="3"/>
  </r>
  <r>
    <n v="5224"/>
    <d v="2025-03-25T00:00:00"/>
    <n v="1010"/>
    <s v="Imran Patel"/>
    <x v="2"/>
    <s v="Small Business"/>
    <x v="6"/>
    <x v="2"/>
    <n v="5"/>
    <n v="900"/>
    <n v="0"/>
    <s v="Credit Card"/>
    <x v="82"/>
    <x v="4"/>
  </r>
  <r>
    <n v="5337"/>
    <d v="2025-05-04T00:00:00"/>
    <n v="1010"/>
    <s v="Imran Patel"/>
    <x v="2"/>
    <s v="Small Business"/>
    <x v="7"/>
    <x v="0"/>
    <n v="5"/>
    <n v="12000"/>
    <n v="0"/>
    <s v="UPI"/>
    <x v="35"/>
    <x v="8"/>
  </r>
  <r>
    <n v="5550"/>
    <d v="2025-07-26T00:00:00"/>
    <n v="1010"/>
    <s v="Imran Patel"/>
    <x v="2"/>
    <s v="Small Business"/>
    <x v="8"/>
    <x v="1"/>
    <n v="5"/>
    <n v="200"/>
    <n v="15"/>
    <s v="Credit Card"/>
    <x v="83"/>
    <x v="2"/>
  </r>
  <r>
    <n v="5670"/>
    <d v="2025-09-09T00:00:00"/>
    <n v="1010"/>
    <s v="Imran Patel"/>
    <x v="2"/>
    <s v="Small Business"/>
    <x v="3"/>
    <x v="1"/>
    <n v="5"/>
    <n v="350"/>
    <n v="0"/>
    <s v="Credit Card"/>
    <x v="13"/>
    <x v="7"/>
  </r>
  <r>
    <n v="5708"/>
    <d v="2025-09-24T00:00:00"/>
    <n v="1010"/>
    <s v="Imran Patel"/>
    <x v="2"/>
    <s v="Small Business"/>
    <x v="1"/>
    <x v="0"/>
    <n v="5"/>
    <n v="2500"/>
    <n v="0"/>
    <s v="Credit Card"/>
    <x v="16"/>
    <x v="7"/>
  </r>
  <r>
    <n v="5922"/>
    <d v="2025-12-06T00:00:00"/>
    <n v="1010"/>
    <s v="Imran Patel"/>
    <x v="2"/>
    <s v="Small Business"/>
    <x v="9"/>
    <x v="2"/>
    <n v="5"/>
    <n v="7500"/>
    <n v="0"/>
    <s v="Credit Card"/>
    <x v="27"/>
    <x v="1"/>
  </r>
  <r>
    <n v="5949"/>
    <d v="2025-12-15T00:00:00"/>
    <n v="1010"/>
    <s v="Imran Patel"/>
    <x v="2"/>
    <s v="Small Business"/>
    <x v="5"/>
    <x v="0"/>
    <n v="5"/>
    <n v="22000"/>
    <n v="15"/>
    <s v="Debit Card"/>
    <x v="77"/>
    <x v="1"/>
  </r>
  <r>
    <n v="5395"/>
    <d v="2025-06-02T00:00:00"/>
    <n v="1010"/>
    <s v="Imran Patel"/>
    <x v="2"/>
    <s v="Small Business"/>
    <x v="4"/>
    <x v="2"/>
    <n v="4"/>
    <n v="16000"/>
    <n v="5"/>
    <s v="Cash"/>
    <x v="84"/>
    <x v="5"/>
  </r>
  <r>
    <n v="5478"/>
    <d v="2025-07-03T00:00:00"/>
    <n v="1010"/>
    <s v="Imran Patel"/>
    <x v="2"/>
    <s v="Small Business"/>
    <x v="10"/>
    <x v="0"/>
    <n v="4"/>
    <n v="18000"/>
    <n v="0"/>
    <s v="Net Banking"/>
    <x v="46"/>
    <x v="2"/>
  </r>
  <r>
    <n v="5608"/>
    <d v="2025-08-18T00:00:00"/>
    <n v="1010"/>
    <s v="Imran Patel"/>
    <x v="2"/>
    <s v="Small Business"/>
    <x v="7"/>
    <x v="0"/>
    <n v="4"/>
    <n v="12000"/>
    <n v="0"/>
    <s v="Cash"/>
    <x v="67"/>
    <x v="6"/>
  </r>
  <r>
    <n v="5641"/>
    <d v="2025-08-27T00:00:00"/>
    <n v="1010"/>
    <s v="Imran Patel"/>
    <x v="2"/>
    <s v="Small Business"/>
    <x v="6"/>
    <x v="2"/>
    <n v="4"/>
    <n v="900"/>
    <n v="0"/>
    <s v="Cash"/>
    <x v="85"/>
    <x v="6"/>
  </r>
  <r>
    <n v="5181"/>
    <d v="2025-03-02T00:00:00"/>
    <n v="1010"/>
    <s v="Imran Patel"/>
    <x v="2"/>
    <s v="Small Business"/>
    <x v="6"/>
    <x v="2"/>
    <n v="3"/>
    <n v="900"/>
    <n v="0"/>
    <s v="Cash"/>
    <x v="86"/>
    <x v="4"/>
  </r>
  <r>
    <n v="5187"/>
    <d v="2025-03-05T00:00:00"/>
    <n v="1010"/>
    <s v="Imran Patel"/>
    <x v="1"/>
    <s v="Small Business"/>
    <x v="10"/>
    <x v="0"/>
    <n v="3"/>
    <n v="18000"/>
    <n v="5"/>
    <s v="Net Banking"/>
    <x v="87"/>
    <x v="4"/>
  </r>
  <r>
    <n v="5636"/>
    <d v="2025-08-26T00:00:00"/>
    <n v="1010"/>
    <s v="Imran Patel"/>
    <x v="2"/>
    <s v="Small Business"/>
    <x v="11"/>
    <x v="0"/>
    <n v="3"/>
    <n v="9500"/>
    <n v="5"/>
    <s v="UPI"/>
    <x v="88"/>
    <x v="6"/>
  </r>
  <r>
    <n v="5713"/>
    <d v="2025-09-26T00:00:00"/>
    <n v="1010"/>
    <s v="Imran Patel"/>
    <x v="2"/>
    <s v="Small Business"/>
    <x v="7"/>
    <x v="0"/>
    <n v="3"/>
    <n v="12000"/>
    <n v="5"/>
    <s v="UPI"/>
    <x v="89"/>
    <x v="7"/>
  </r>
  <r>
    <n v="5795"/>
    <d v="2025-10-21T00:00:00"/>
    <n v="1010"/>
    <s v="Imran Patel"/>
    <x v="2"/>
    <s v="Small Business"/>
    <x v="6"/>
    <x v="2"/>
    <n v="3"/>
    <n v="900"/>
    <n v="10"/>
    <s v="Credit Card"/>
    <x v="90"/>
    <x v="11"/>
  </r>
  <r>
    <n v="5256"/>
    <d v="2025-04-03T00:00:00"/>
    <n v="1010"/>
    <s v="Imran Patel"/>
    <x v="2"/>
    <s v="Small Business"/>
    <x v="1"/>
    <x v="0"/>
    <n v="2"/>
    <n v="2500"/>
    <n v="5"/>
    <s v="UPI"/>
    <x v="91"/>
    <x v="0"/>
  </r>
  <r>
    <n v="5647"/>
    <d v="2025-08-30T00:00:00"/>
    <n v="1010"/>
    <s v="Imran Patel"/>
    <x v="2"/>
    <s v="Small Business"/>
    <x v="3"/>
    <x v="1"/>
    <n v="2"/>
    <n v="350"/>
    <n v="10"/>
    <s v="Cash"/>
    <x v="92"/>
    <x v="6"/>
  </r>
  <r>
    <n v="5237"/>
    <d v="2025-03-29T00:00:00"/>
    <n v="1010"/>
    <s v="Imran Patel"/>
    <x v="2"/>
    <s v="Small Business"/>
    <x v="8"/>
    <x v="1"/>
    <n v="1"/>
    <n v="200"/>
    <n v="0"/>
    <s v="Credit Card"/>
    <x v="75"/>
    <x v="4"/>
  </r>
  <r>
    <n v="5296"/>
    <d v="2025-04-20T00:00:00"/>
    <n v="1010"/>
    <s v="Imran Patel"/>
    <x v="2"/>
    <s v="Small Business"/>
    <x v="3"/>
    <x v="1"/>
    <n v="1"/>
    <n v="350"/>
    <n v="0"/>
    <s v="Cash"/>
    <x v="93"/>
    <x v="0"/>
  </r>
  <r>
    <n v="5355"/>
    <d v="2025-05-16T00:00:00"/>
    <n v="1010"/>
    <s v="Imran Patel"/>
    <x v="2"/>
    <s v="Small Business"/>
    <x v="6"/>
    <x v="2"/>
    <n v="1"/>
    <n v="900"/>
    <n v="0"/>
    <s v="UPI"/>
    <x v="44"/>
    <x v="8"/>
  </r>
  <r>
    <n v="5554"/>
    <d v="2025-07-27T00:00:00"/>
    <n v="1010"/>
    <s v="Imran Patel"/>
    <x v="2"/>
    <s v="Small Business"/>
    <x v="3"/>
    <x v="1"/>
    <n v="1"/>
    <n v="350"/>
    <n v="5"/>
    <s v="Debit Card"/>
    <x v="94"/>
    <x v="2"/>
  </r>
  <r>
    <n v="5133"/>
    <d v="2025-02-15T00:00:00"/>
    <n v="1011"/>
    <s v="Rahul Khan"/>
    <x v="2"/>
    <s v="Small Business"/>
    <x v="9"/>
    <x v="2"/>
    <n v="5"/>
    <n v="7500"/>
    <n v="5"/>
    <s v="Credit Card"/>
    <x v="95"/>
    <x v="3"/>
  </r>
  <r>
    <n v="5732"/>
    <d v="2025-10-01T00:00:00"/>
    <n v="1011"/>
    <s v="Rahul Khan"/>
    <x v="2"/>
    <s v="Small Business"/>
    <x v="3"/>
    <x v="1"/>
    <n v="5"/>
    <n v="350"/>
    <n v="10"/>
    <s v="Debit Card"/>
    <x v="96"/>
    <x v="11"/>
  </r>
  <r>
    <n v="5900"/>
    <d v="2025-12-01T00:00:00"/>
    <n v="1011"/>
    <s v="Rahul Khan"/>
    <x v="2"/>
    <s v="Small Business"/>
    <x v="0"/>
    <x v="0"/>
    <n v="5"/>
    <n v="6000"/>
    <n v="10"/>
    <s v="Net Banking"/>
    <x v="55"/>
    <x v="1"/>
  </r>
  <r>
    <n v="5948"/>
    <d v="2025-12-14T00:00:00"/>
    <n v="1011"/>
    <s v="Rahul Khan"/>
    <x v="2"/>
    <s v="Small Business"/>
    <x v="4"/>
    <x v="2"/>
    <n v="5"/>
    <n v="16000"/>
    <n v="10"/>
    <s v="Credit Card"/>
    <x v="46"/>
    <x v="1"/>
  </r>
  <r>
    <n v="5339"/>
    <d v="2025-05-05T00:00:00"/>
    <n v="1011"/>
    <s v="Rahul Khan"/>
    <x v="2"/>
    <s v="Small Business"/>
    <x v="7"/>
    <x v="0"/>
    <n v="4"/>
    <n v="12000"/>
    <n v="0"/>
    <s v="Net Banking"/>
    <x v="67"/>
    <x v="8"/>
  </r>
  <r>
    <n v="5316"/>
    <d v="2025-04-26T00:00:00"/>
    <n v="1011"/>
    <s v="Rahul Khan"/>
    <x v="2"/>
    <s v="Small Business"/>
    <x v="8"/>
    <x v="1"/>
    <n v="3"/>
    <n v="200"/>
    <n v="0"/>
    <s v="Cash"/>
    <x v="42"/>
    <x v="0"/>
  </r>
  <r>
    <n v="5583"/>
    <d v="2025-08-08T00:00:00"/>
    <n v="1011"/>
    <s v="Rahul Khan"/>
    <x v="2"/>
    <s v="Small Business"/>
    <x v="8"/>
    <x v="1"/>
    <n v="3"/>
    <n v="200"/>
    <n v="0"/>
    <s v="Net Banking"/>
    <x v="42"/>
    <x v="6"/>
  </r>
  <r>
    <n v="5847"/>
    <d v="2025-11-07T00:00:00"/>
    <n v="1011"/>
    <s v="Rahul Khan"/>
    <x v="2"/>
    <s v="Small Business"/>
    <x v="1"/>
    <x v="0"/>
    <n v="3"/>
    <n v="2500"/>
    <n v="5"/>
    <s v="Net Banking"/>
    <x v="74"/>
    <x v="10"/>
  </r>
  <r>
    <n v="5105"/>
    <d v="2025-02-08T00:00:00"/>
    <n v="1011"/>
    <s v="Rahul Khan"/>
    <x v="2"/>
    <s v="Small Business"/>
    <x v="5"/>
    <x v="0"/>
    <n v="2"/>
    <n v="22000"/>
    <n v="10"/>
    <s v="Debit Card"/>
    <x v="97"/>
    <x v="3"/>
  </r>
  <r>
    <n v="5586"/>
    <d v="2025-08-09T00:00:00"/>
    <n v="1011"/>
    <s v="Rahul Khan"/>
    <x v="2"/>
    <s v="Small Business"/>
    <x v="8"/>
    <x v="1"/>
    <n v="2"/>
    <n v="200"/>
    <n v="0"/>
    <s v="UPI"/>
    <x v="24"/>
    <x v="6"/>
  </r>
  <r>
    <n v="5803"/>
    <d v="2025-10-27T00:00:00"/>
    <n v="1011"/>
    <s v="Rahul Khan"/>
    <x v="2"/>
    <s v="Small Business"/>
    <x v="6"/>
    <x v="2"/>
    <n v="2"/>
    <n v="900"/>
    <n v="0"/>
    <s v="UPI"/>
    <x v="62"/>
    <x v="11"/>
  </r>
  <r>
    <n v="5402"/>
    <d v="2025-06-04T00:00:00"/>
    <n v="1011"/>
    <s v="Rahul Khan"/>
    <x v="2"/>
    <s v="Small Business"/>
    <x v="9"/>
    <x v="2"/>
    <n v="1"/>
    <n v="7500"/>
    <n v="0"/>
    <s v="Debit Card"/>
    <x v="2"/>
    <x v="5"/>
  </r>
  <r>
    <n v="5629"/>
    <d v="2025-08-25T00:00:00"/>
    <n v="1011"/>
    <s v="Rahul Khan"/>
    <x v="2"/>
    <s v="Small Business"/>
    <x v="0"/>
    <x v="0"/>
    <n v="1"/>
    <n v="6000"/>
    <n v="0"/>
    <s v="Net Banking"/>
    <x v="98"/>
    <x v="6"/>
  </r>
  <r>
    <n v="5997"/>
    <d v="2025-12-30T00:00:00"/>
    <n v="1011"/>
    <s v="Rahul Khan"/>
    <x v="2"/>
    <s v="Small Business"/>
    <x v="5"/>
    <x v="0"/>
    <n v="1"/>
    <n v="22000"/>
    <n v="0"/>
    <s v="Cash"/>
    <x v="10"/>
    <x v="1"/>
  </r>
  <r>
    <n v="5404"/>
    <d v="2025-06-05T00:00:00"/>
    <n v="1012"/>
    <s v="Sneha Rao"/>
    <x v="2"/>
    <s v="Corporate"/>
    <x v="0"/>
    <x v="0"/>
    <n v="5"/>
    <n v="6000"/>
    <n v="10"/>
    <s v="Credit Card"/>
    <x v="55"/>
    <x v="5"/>
  </r>
  <r>
    <n v="5591"/>
    <d v="2025-08-12T00:00:00"/>
    <n v="1012"/>
    <s v="Sneha Rao"/>
    <x v="2"/>
    <s v="Corporate"/>
    <x v="1"/>
    <x v="0"/>
    <n v="5"/>
    <n v="2500"/>
    <n v="10"/>
    <s v="Credit Card"/>
    <x v="99"/>
    <x v="6"/>
  </r>
  <r>
    <n v="5660"/>
    <d v="2025-09-05T00:00:00"/>
    <n v="1012"/>
    <s v="Sneha Rao"/>
    <x v="2"/>
    <s v="Corporate"/>
    <x v="5"/>
    <x v="0"/>
    <n v="5"/>
    <n v="22000"/>
    <n v="0"/>
    <s v="Cash"/>
    <x v="49"/>
    <x v="7"/>
  </r>
  <r>
    <n v="5771"/>
    <d v="2025-10-14T00:00:00"/>
    <n v="1012"/>
    <s v="Sneha Rao"/>
    <x v="2"/>
    <s v="Corporate"/>
    <x v="4"/>
    <x v="2"/>
    <n v="5"/>
    <n v="16000"/>
    <n v="10"/>
    <s v="UPI"/>
    <x v="46"/>
    <x v="11"/>
  </r>
  <r>
    <n v="5794"/>
    <d v="2025-10-21T00:00:00"/>
    <n v="1012"/>
    <s v="Sneha Rao"/>
    <x v="2"/>
    <s v="Corporate"/>
    <x v="10"/>
    <x v="0"/>
    <n v="5"/>
    <n v="18000"/>
    <n v="0"/>
    <s v="Credit Card"/>
    <x v="100"/>
    <x v="11"/>
  </r>
  <r>
    <n v="5234"/>
    <d v="2025-03-28T00:00:00"/>
    <n v="1012"/>
    <s v="Sneha Rao"/>
    <x v="2"/>
    <s v="Corporate"/>
    <x v="7"/>
    <x v="0"/>
    <n v="4"/>
    <n v="12000"/>
    <n v="0"/>
    <s v="Debit Card"/>
    <x v="67"/>
    <x v="4"/>
  </r>
  <r>
    <n v="5223"/>
    <d v="2025-03-25T00:00:00"/>
    <n v="1012"/>
    <s v="Sneha Rao"/>
    <x v="2"/>
    <s v="Corporate"/>
    <x v="9"/>
    <x v="2"/>
    <n v="3"/>
    <n v="7500"/>
    <n v="0"/>
    <s v="Debit Card"/>
    <x v="52"/>
    <x v="4"/>
  </r>
  <r>
    <n v="5487"/>
    <d v="2025-07-05T00:00:00"/>
    <n v="1012"/>
    <s v="Sneha Rao"/>
    <x v="2"/>
    <s v="Corporate"/>
    <x v="9"/>
    <x v="2"/>
    <n v="3"/>
    <n v="7500"/>
    <n v="10"/>
    <s v="Cash"/>
    <x v="71"/>
    <x v="2"/>
  </r>
  <r>
    <n v="5026"/>
    <d v="2025-01-09T00:00:00"/>
    <n v="1012"/>
    <s v="Sneha Rao"/>
    <x v="2"/>
    <s v="Corporate"/>
    <x v="8"/>
    <x v="1"/>
    <n v="2"/>
    <n v="200"/>
    <n v="0"/>
    <s v="Net Banking"/>
    <x v="24"/>
    <x v="9"/>
  </r>
  <r>
    <n v="5045"/>
    <d v="2025-01-16T00:00:00"/>
    <n v="1012"/>
    <s v="Sneha Rao"/>
    <x v="2"/>
    <s v="Corporate"/>
    <x v="11"/>
    <x v="0"/>
    <n v="2"/>
    <n v="9500"/>
    <n v="10"/>
    <s v="Cash"/>
    <x v="30"/>
    <x v="9"/>
  </r>
  <r>
    <n v="5351"/>
    <d v="2025-05-15T00:00:00"/>
    <n v="1012"/>
    <s v="Sneha Rao"/>
    <x v="1"/>
    <s v="Corporate"/>
    <x v="8"/>
    <x v="1"/>
    <n v="2"/>
    <n v="200"/>
    <n v="10"/>
    <s v="Credit Card"/>
    <x v="101"/>
    <x v="8"/>
  </r>
  <r>
    <n v="5920"/>
    <d v="2025-12-05T00:00:00"/>
    <n v="1012"/>
    <s v="Sneha Rao"/>
    <x v="2"/>
    <s v="Corporate"/>
    <x v="3"/>
    <x v="1"/>
    <n v="2"/>
    <n v="350"/>
    <n v="0"/>
    <s v="Debit Card"/>
    <x v="6"/>
    <x v="1"/>
  </r>
  <r>
    <n v="5132"/>
    <d v="2025-02-15T00:00:00"/>
    <n v="1012"/>
    <s v="Sneha Rao"/>
    <x v="2"/>
    <s v="Corporate"/>
    <x v="9"/>
    <x v="2"/>
    <n v="1"/>
    <n v="7500"/>
    <n v="0"/>
    <s v="Net Banking"/>
    <x v="2"/>
    <x v="3"/>
  </r>
  <r>
    <n v="5363"/>
    <d v="2025-05-18T00:00:00"/>
    <n v="1012"/>
    <s v="Sneha Rao"/>
    <x v="2"/>
    <s v="Corporate"/>
    <x v="3"/>
    <x v="1"/>
    <n v="1"/>
    <n v="350"/>
    <n v="10"/>
    <s v="Debit Card"/>
    <x v="76"/>
    <x v="8"/>
  </r>
  <r>
    <n v="5470"/>
    <d v="2025-06-29T00:00:00"/>
    <n v="1012"/>
    <s v="Sneha Rao"/>
    <x v="2"/>
    <s v="Corporate"/>
    <x v="2"/>
    <x v="0"/>
    <n v="1"/>
    <n v="55000"/>
    <n v="0"/>
    <s v="Net Banking"/>
    <x v="8"/>
    <x v="5"/>
  </r>
  <r>
    <n v="5498"/>
    <d v="2025-07-08T00:00:00"/>
    <n v="1012"/>
    <s v="Sneha Rao"/>
    <x v="2"/>
    <s v="Corporate"/>
    <x v="6"/>
    <x v="2"/>
    <n v="1"/>
    <n v="900"/>
    <n v="5"/>
    <s v="UPI"/>
    <x v="11"/>
    <x v="2"/>
  </r>
  <r>
    <n v="5064"/>
    <d v="2025-01-21T00:00:00"/>
    <n v="1013"/>
    <s v="Kavya Singh"/>
    <x v="4"/>
    <s v="Consumer"/>
    <x v="0"/>
    <x v="0"/>
    <n v="5"/>
    <n v="6000"/>
    <n v="0"/>
    <s v="UPI"/>
    <x v="0"/>
    <x v="9"/>
  </r>
  <r>
    <n v="5282"/>
    <d v="2025-04-16T00:00:00"/>
    <n v="1013"/>
    <s v="Kavya Singh"/>
    <x v="4"/>
    <s v="Consumer"/>
    <x v="3"/>
    <x v="1"/>
    <n v="5"/>
    <n v="350"/>
    <n v="0"/>
    <s v="Credit Card"/>
    <x v="13"/>
    <x v="0"/>
  </r>
  <r>
    <n v="5572"/>
    <d v="2025-08-04T00:00:00"/>
    <n v="1013"/>
    <s v="Kavya Singh"/>
    <x v="4"/>
    <s v="Consumer"/>
    <x v="1"/>
    <x v="0"/>
    <n v="5"/>
    <n v="2500"/>
    <n v="10"/>
    <s v="Credit Card"/>
    <x v="99"/>
    <x v="6"/>
  </r>
  <r>
    <n v="5688"/>
    <d v="2025-09-18T00:00:00"/>
    <n v="1013"/>
    <s v="Kavya Singh"/>
    <x v="1"/>
    <s v="Consumer"/>
    <x v="9"/>
    <x v="2"/>
    <n v="5"/>
    <n v="7500"/>
    <n v="10"/>
    <s v="Credit Card"/>
    <x v="102"/>
    <x v="7"/>
  </r>
  <r>
    <n v="5689"/>
    <d v="2025-09-18T00:00:00"/>
    <n v="1013"/>
    <s v="Kavya Singh"/>
    <x v="4"/>
    <s v="Consumer"/>
    <x v="6"/>
    <x v="2"/>
    <n v="5"/>
    <n v="900"/>
    <n v="0"/>
    <s v="UPI"/>
    <x v="82"/>
    <x v="7"/>
  </r>
  <r>
    <n v="5445"/>
    <d v="2025-06-19T00:00:00"/>
    <n v="1013"/>
    <s v="Kavya Singh"/>
    <x v="4"/>
    <s v="Consumer"/>
    <x v="6"/>
    <x v="2"/>
    <n v="4"/>
    <n v="900"/>
    <n v="0"/>
    <s v="UPI"/>
    <x v="85"/>
    <x v="5"/>
  </r>
  <r>
    <n v="5095"/>
    <d v="2025-02-04T00:00:00"/>
    <n v="1013"/>
    <s v="Kavya Singh"/>
    <x v="4"/>
    <s v="Consumer"/>
    <x v="0"/>
    <x v="0"/>
    <n v="3"/>
    <n v="6000"/>
    <n v="0"/>
    <s v="Debit Card"/>
    <x v="61"/>
    <x v="3"/>
  </r>
  <r>
    <n v="5410"/>
    <d v="2025-06-07T00:00:00"/>
    <n v="1013"/>
    <s v="Kavya Singh"/>
    <x v="4"/>
    <s v="Consumer"/>
    <x v="11"/>
    <x v="0"/>
    <n v="3"/>
    <n v="9500"/>
    <n v="0"/>
    <s v="Cash"/>
    <x v="50"/>
    <x v="5"/>
  </r>
  <r>
    <n v="5440"/>
    <d v="2025-06-18T00:00:00"/>
    <n v="1013"/>
    <s v="Kavya Singh"/>
    <x v="4"/>
    <s v="Consumer"/>
    <x v="10"/>
    <x v="0"/>
    <n v="3"/>
    <n v="18000"/>
    <n v="15"/>
    <s v="Debit Card"/>
    <x v="33"/>
    <x v="5"/>
  </r>
  <r>
    <n v="5816"/>
    <d v="2025-10-30T00:00:00"/>
    <n v="1013"/>
    <s v="Kavya Singh"/>
    <x v="1"/>
    <s v="Consumer"/>
    <x v="5"/>
    <x v="0"/>
    <n v="2"/>
    <n v="22000"/>
    <n v="10"/>
    <s v="Net Banking"/>
    <x v="97"/>
    <x v="11"/>
  </r>
  <r>
    <n v="5977"/>
    <d v="2025-12-22T00:00:00"/>
    <n v="1013"/>
    <s v="Kavya Singh"/>
    <x v="4"/>
    <s v="Consumer"/>
    <x v="0"/>
    <x v="0"/>
    <n v="2"/>
    <n v="6000"/>
    <n v="10"/>
    <s v="Cash"/>
    <x v="65"/>
    <x v="1"/>
  </r>
  <r>
    <n v="5174"/>
    <d v="2025-02-27T00:00:00"/>
    <n v="1013"/>
    <s v="Kavya Singh"/>
    <x v="4"/>
    <s v="Consumer"/>
    <x v="6"/>
    <x v="2"/>
    <n v="1"/>
    <n v="900"/>
    <n v="15"/>
    <s v="Credit Card"/>
    <x v="103"/>
    <x v="3"/>
  </r>
  <r>
    <n v="5496"/>
    <d v="2025-07-08T00:00:00"/>
    <n v="1013"/>
    <s v="Kavya Singh"/>
    <x v="4"/>
    <s v="Consumer"/>
    <x v="4"/>
    <x v="2"/>
    <n v="1"/>
    <n v="16000"/>
    <n v="5"/>
    <s v="Debit Card"/>
    <x v="104"/>
    <x v="2"/>
  </r>
  <r>
    <n v="5179"/>
    <d v="2025-03-02T00:00:00"/>
    <n v="1014"/>
    <s v="Arjun Das"/>
    <x v="2"/>
    <s v="Small Business"/>
    <x v="1"/>
    <x v="0"/>
    <n v="5"/>
    <n v="2500"/>
    <n v="10"/>
    <s v="Cash"/>
    <x v="99"/>
    <x v="4"/>
  </r>
  <r>
    <n v="5203"/>
    <d v="2025-03-12T00:00:00"/>
    <n v="1014"/>
    <s v="Arjun Das"/>
    <x v="2"/>
    <s v="Small Business"/>
    <x v="1"/>
    <x v="0"/>
    <n v="5"/>
    <n v="2500"/>
    <n v="10"/>
    <s v="Cash"/>
    <x v="99"/>
    <x v="4"/>
  </r>
  <r>
    <n v="5539"/>
    <d v="2025-07-21T00:00:00"/>
    <n v="1014"/>
    <s v="Arjun Das"/>
    <x v="2"/>
    <s v="Small Business"/>
    <x v="3"/>
    <x v="1"/>
    <n v="5"/>
    <n v="350"/>
    <n v="0"/>
    <s v="Cash"/>
    <x v="13"/>
    <x v="2"/>
  </r>
  <r>
    <n v="5055"/>
    <d v="2025-01-19T00:00:00"/>
    <n v="1014"/>
    <s v="Arjun Das"/>
    <x v="2"/>
    <s v="Small Business"/>
    <x v="2"/>
    <x v="0"/>
    <n v="3"/>
    <n v="55000"/>
    <n v="5"/>
    <s v="Net Banking"/>
    <x v="3"/>
    <x v="9"/>
  </r>
  <r>
    <n v="5212"/>
    <d v="2025-03-15T00:00:00"/>
    <n v="1014"/>
    <s v="Arjun Das"/>
    <x v="2"/>
    <s v="Small Business"/>
    <x v="0"/>
    <x v="0"/>
    <n v="3"/>
    <n v="6000"/>
    <n v="0"/>
    <s v="Credit Card"/>
    <x v="61"/>
    <x v="4"/>
  </r>
  <r>
    <n v="5245"/>
    <d v="2025-03-31T00:00:00"/>
    <n v="1014"/>
    <s v="Arjun Das"/>
    <x v="2"/>
    <s v="Small Business"/>
    <x v="6"/>
    <x v="2"/>
    <n v="3"/>
    <n v="900"/>
    <n v="15"/>
    <s v="Debit Card"/>
    <x v="105"/>
    <x v="4"/>
  </r>
  <r>
    <n v="5577"/>
    <d v="2025-08-06T00:00:00"/>
    <n v="1014"/>
    <s v="Arjun Das"/>
    <x v="2"/>
    <s v="Small Business"/>
    <x v="0"/>
    <x v="0"/>
    <n v="3"/>
    <n v="6000"/>
    <n v="5"/>
    <s v="Debit Card"/>
    <x v="30"/>
    <x v="6"/>
  </r>
  <r>
    <n v="5875"/>
    <d v="2025-11-19T00:00:00"/>
    <n v="1014"/>
    <s v="Arjun Das"/>
    <x v="2"/>
    <s v="Small Business"/>
    <x v="9"/>
    <x v="2"/>
    <n v="2"/>
    <n v="7500"/>
    <n v="0"/>
    <s v="UPI"/>
    <x v="106"/>
    <x v="10"/>
  </r>
  <r>
    <n v="5941"/>
    <d v="2025-12-13T00:00:00"/>
    <n v="1014"/>
    <s v="Arjun Das"/>
    <x v="2"/>
    <s v="Small Business"/>
    <x v="0"/>
    <x v="0"/>
    <n v="2"/>
    <n v="6000"/>
    <n v="10"/>
    <s v="Cash"/>
    <x v="65"/>
    <x v="1"/>
  </r>
  <r>
    <n v="5356"/>
    <d v="2025-05-16T00:00:00"/>
    <n v="1014"/>
    <s v="Arjun Das"/>
    <x v="2"/>
    <s v="Small Business"/>
    <x v="3"/>
    <x v="1"/>
    <n v="1"/>
    <n v="350"/>
    <n v="10"/>
    <s v="Credit Card"/>
    <x v="76"/>
    <x v="8"/>
  </r>
  <r>
    <n v="5894"/>
    <d v="2025-11-28T00:00:00"/>
    <n v="1014"/>
    <s v="Arjun Das"/>
    <x v="2"/>
    <s v="Small Business"/>
    <x v="7"/>
    <x v="0"/>
    <n v="1"/>
    <n v="12000"/>
    <n v="0"/>
    <s v="Debit Card"/>
    <x v="25"/>
    <x v="10"/>
  </r>
  <r>
    <n v="5999"/>
    <d v="2025-12-31T00:00:00"/>
    <n v="1014"/>
    <s v="Arjun Das"/>
    <x v="2"/>
    <s v="Small Business"/>
    <x v="6"/>
    <x v="2"/>
    <n v="1"/>
    <n v="900"/>
    <n v="0"/>
    <s v="UPI"/>
    <x v="44"/>
    <x v="1"/>
  </r>
  <r>
    <n v="5215"/>
    <d v="2025-03-15T00:00:00"/>
    <n v="1015"/>
    <s v="Rahul Patel"/>
    <x v="3"/>
    <s v="Corporate"/>
    <x v="4"/>
    <x v="2"/>
    <n v="5"/>
    <n v="16000"/>
    <n v="0"/>
    <s v="Credit Card"/>
    <x v="26"/>
    <x v="4"/>
  </r>
  <r>
    <n v="5309"/>
    <d v="2025-04-25T00:00:00"/>
    <n v="1015"/>
    <s v="Rahul Patel"/>
    <x v="3"/>
    <s v="Corporate"/>
    <x v="7"/>
    <x v="0"/>
    <n v="5"/>
    <n v="12000"/>
    <n v="0"/>
    <s v="Credit Card"/>
    <x v="35"/>
    <x v="0"/>
  </r>
  <r>
    <n v="5517"/>
    <d v="2025-07-13T00:00:00"/>
    <n v="1015"/>
    <s v="Rahul Patel"/>
    <x v="3"/>
    <s v="Corporate"/>
    <x v="11"/>
    <x v="0"/>
    <n v="5"/>
    <n v="9500"/>
    <n v="0"/>
    <s v="Debit Card"/>
    <x v="107"/>
    <x v="2"/>
  </r>
  <r>
    <n v="5008"/>
    <d v="2025-01-03T00:00:00"/>
    <n v="1015"/>
    <s v="Rahul Patel"/>
    <x v="3"/>
    <s v="Corporate"/>
    <x v="2"/>
    <x v="0"/>
    <n v="4"/>
    <n v="55000"/>
    <n v="5"/>
    <s v="Credit Card"/>
    <x v="108"/>
    <x v="9"/>
  </r>
  <r>
    <n v="5086"/>
    <d v="2025-02-02T00:00:00"/>
    <n v="1015"/>
    <s v="Rahul Patel"/>
    <x v="3"/>
    <s v="Corporate"/>
    <x v="5"/>
    <x v="0"/>
    <n v="4"/>
    <n v="22000"/>
    <n v="0"/>
    <s v="UPI"/>
    <x v="19"/>
    <x v="3"/>
  </r>
  <r>
    <n v="5154"/>
    <d v="2025-02-21T00:00:00"/>
    <n v="1015"/>
    <s v="Rahul Patel"/>
    <x v="3"/>
    <s v="Corporate"/>
    <x v="1"/>
    <x v="0"/>
    <n v="4"/>
    <n v="2500"/>
    <n v="5"/>
    <s v="Net Banking"/>
    <x v="80"/>
    <x v="3"/>
  </r>
  <r>
    <n v="5242"/>
    <d v="2025-03-30T00:00:00"/>
    <n v="1015"/>
    <s v="Rahul Patel"/>
    <x v="3"/>
    <s v="Corporate"/>
    <x v="6"/>
    <x v="2"/>
    <n v="4"/>
    <n v="900"/>
    <n v="15"/>
    <s v="Net Banking"/>
    <x v="109"/>
    <x v="4"/>
  </r>
  <r>
    <n v="5409"/>
    <d v="2025-06-07T00:00:00"/>
    <n v="1015"/>
    <s v="Rahul Patel"/>
    <x v="1"/>
    <s v="Corporate"/>
    <x v="8"/>
    <x v="1"/>
    <n v="4"/>
    <n v="200"/>
    <n v="0"/>
    <s v="Debit Card"/>
    <x v="21"/>
    <x v="5"/>
  </r>
  <r>
    <n v="5604"/>
    <d v="2025-08-15T00:00:00"/>
    <n v="1015"/>
    <s v="Rahul Patel"/>
    <x v="3"/>
    <s v="Corporate"/>
    <x v="6"/>
    <x v="2"/>
    <n v="4"/>
    <n v="900"/>
    <n v="0"/>
    <s v="Net Banking"/>
    <x v="85"/>
    <x v="6"/>
  </r>
  <r>
    <n v="5606"/>
    <d v="2025-08-16T00:00:00"/>
    <n v="1015"/>
    <s v="Rahul Patel"/>
    <x v="3"/>
    <s v="Corporate"/>
    <x v="3"/>
    <x v="1"/>
    <n v="4"/>
    <n v="350"/>
    <n v="10"/>
    <s v="Net Banking"/>
    <x v="110"/>
    <x v="6"/>
  </r>
  <r>
    <n v="5882"/>
    <d v="2025-11-23T00:00:00"/>
    <n v="1015"/>
    <s v="Rahul Patel"/>
    <x v="3"/>
    <s v="Corporate"/>
    <x v="3"/>
    <x v="1"/>
    <n v="4"/>
    <n v="350"/>
    <n v="0"/>
    <s v="UPI"/>
    <x v="28"/>
    <x v="10"/>
  </r>
  <r>
    <n v="5953"/>
    <d v="2025-12-17T00:00:00"/>
    <n v="1015"/>
    <s v="Rahul Patel"/>
    <x v="1"/>
    <s v="Corporate"/>
    <x v="6"/>
    <x v="2"/>
    <n v="4"/>
    <n v="900"/>
    <n v="0"/>
    <s v="UPI"/>
    <x v="85"/>
    <x v="1"/>
  </r>
  <r>
    <n v="5592"/>
    <d v="2025-08-12T00:00:00"/>
    <n v="1015"/>
    <s v="Rahul Patel"/>
    <x v="3"/>
    <s v="Corporate"/>
    <x v="1"/>
    <x v="0"/>
    <n v="3"/>
    <n v="2500"/>
    <n v="5"/>
    <s v="Net Banking"/>
    <x v="74"/>
    <x v="6"/>
  </r>
  <r>
    <n v="5909"/>
    <d v="2025-12-03T00:00:00"/>
    <n v="1015"/>
    <s v="Rahul Patel"/>
    <x v="3"/>
    <s v="Corporate"/>
    <x v="10"/>
    <x v="0"/>
    <n v="3"/>
    <n v="18000"/>
    <n v="5"/>
    <s v="Credit Card"/>
    <x v="87"/>
    <x v="1"/>
  </r>
  <r>
    <n v="5937"/>
    <d v="2025-12-12T00:00:00"/>
    <n v="1015"/>
    <s v="Rahul Patel"/>
    <x v="3"/>
    <s v="Corporate"/>
    <x v="0"/>
    <x v="0"/>
    <n v="3"/>
    <n v="6000"/>
    <n v="0"/>
    <s v="Net Banking"/>
    <x v="61"/>
    <x v="1"/>
  </r>
  <r>
    <n v="5206"/>
    <d v="2025-03-13T00:00:00"/>
    <n v="1015"/>
    <s v="Rahul Patel"/>
    <x v="3"/>
    <s v="Corporate"/>
    <x v="2"/>
    <x v="0"/>
    <n v="2"/>
    <n v="55000"/>
    <n v="15"/>
    <s v="Debit Card"/>
    <x v="77"/>
    <x v="4"/>
  </r>
  <r>
    <n v="5486"/>
    <d v="2025-07-05T00:00:00"/>
    <n v="1015"/>
    <s v="Rahul Patel"/>
    <x v="3"/>
    <s v="Corporate"/>
    <x v="9"/>
    <x v="2"/>
    <n v="2"/>
    <n v="7500"/>
    <n v="10"/>
    <s v="Debit Card"/>
    <x v="111"/>
    <x v="2"/>
  </r>
  <r>
    <n v="5511"/>
    <d v="2025-07-11T00:00:00"/>
    <n v="1015"/>
    <s v="Rahul Patel"/>
    <x v="3"/>
    <s v="Corporate"/>
    <x v="10"/>
    <x v="0"/>
    <n v="2"/>
    <n v="18000"/>
    <n v="15"/>
    <s v="Debit Card"/>
    <x v="112"/>
    <x v="2"/>
  </r>
  <r>
    <n v="5800"/>
    <d v="2025-10-24T00:00:00"/>
    <n v="1015"/>
    <s v="Rahul Patel"/>
    <x v="3"/>
    <s v="Corporate"/>
    <x v="7"/>
    <x v="0"/>
    <n v="2"/>
    <n v="12000"/>
    <n v="10"/>
    <s v="Cash"/>
    <x v="78"/>
    <x v="11"/>
  </r>
  <r>
    <n v="5993"/>
    <d v="2025-12-30T00:00:00"/>
    <n v="1015"/>
    <s v="Rahul Patel"/>
    <x v="3"/>
    <s v="Corporate"/>
    <x v="6"/>
    <x v="2"/>
    <n v="2"/>
    <n v="900"/>
    <n v="10"/>
    <s v="UPI"/>
    <x v="113"/>
    <x v="1"/>
  </r>
  <r>
    <n v="5102"/>
    <d v="2025-02-08T00:00:00"/>
    <n v="1015"/>
    <s v="Rahul Patel"/>
    <x v="3"/>
    <s v="Corporate"/>
    <x v="5"/>
    <x v="0"/>
    <n v="1"/>
    <n v="22000"/>
    <n v="5"/>
    <s v="Net Banking"/>
    <x v="114"/>
    <x v="3"/>
  </r>
  <r>
    <n v="5263"/>
    <d v="2025-04-08T00:00:00"/>
    <n v="1015"/>
    <s v="Rahul Patel"/>
    <x v="3"/>
    <s v="Corporate"/>
    <x v="11"/>
    <x v="0"/>
    <n v="1"/>
    <n v="9500"/>
    <n v="0"/>
    <s v="Debit Card"/>
    <x v="80"/>
    <x v="0"/>
  </r>
  <r>
    <n v="5862"/>
    <d v="2025-11-13T00:00:00"/>
    <n v="1015"/>
    <s v="Rahul Patel"/>
    <x v="3"/>
    <s v="Corporate"/>
    <x v="1"/>
    <x v="0"/>
    <n v="1"/>
    <n v="2500"/>
    <n v="5"/>
    <s v="Credit Card"/>
    <x v="115"/>
    <x v="10"/>
  </r>
  <r>
    <n v="5401"/>
    <d v="2025-06-03T00:00:00"/>
    <n v="1016"/>
    <s v="Pooja Reddy"/>
    <x v="0"/>
    <s v="Corporate"/>
    <x v="10"/>
    <x v="0"/>
    <n v="5"/>
    <n v="18000"/>
    <n v="10"/>
    <s v="Debit Card"/>
    <x v="116"/>
    <x v="5"/>
  </r>
  <r>
    <n v="5582"/>
    <d v="2025-08-07T00:00:00"/>
    <n v="1016"/>
    <s v="Pooja Reddy"/>
    <x v="0"/>
    <s v="Corporate"/>
    <x v="5"/>
    <x v="0"/>
    <n v="5"/>
    <n v="22000"/>
    <n v="0"/>
    <s v="UPI"/>
    <x v="49"/>
    <x v="6"/>
  </r>
  <r>
    <n v="5779"/>
    <d v="2025-10-18T00:00:00"/>
    <n v="1016"/>
    <s v="Pooja Reddy"/>
    <x v="0"/>
    <s v="Corporate"/>
    <x v="2"/>
    <x v="0"/>
    <n v="5"/>
    <n v="55000"/>
    <n v="15"/>
    <s v="UPI"/>
    <x v="117"/>
    <x v="11"/>
  </r>
  <r>
    <n v="5007"/>
    <d v="2025-01-02T00:00:00"/>
    <n v="1016"/>
    <s v="Pooja Reddy"/>
    <x v="0"/>
    <s v="Corporate"/>
    <x v="5"/>
    <x v="0"/>
    <n v="4"/>
    <n v="22000"/>
    <n v="0"/>
    <s v="Debit Card"/>
    <x v="19"/>
    <x v="9"/>
  </r>
  <r>
    <n v="5321"/>
    <d v="2025-04-27T00:00:00"/>
    <n v="1016"/>
    <s v="Pooja Reddy"/>
    <x v="0"/>
    <s v="Corporate"/>
    <x v="7"/>
    <x v="0"/>
    <n v="4"/>
    <n v="12000"/>
    <n v="0"/>
    <s v="Net Banking"/>
    <x v="67"/>
    <x v="0"/>
  </r>
  <r>
    <n v="5504"/>
    <d v="2025-07-09T00:00:00"/>
    <n v="1016"/>
    <s v="Pooja Reddy"/>
    <x v="0"/>
    <s v="Corporate"/>
    <x v="10"/>
    <x v="0"/>
    <n v="4"/>
    <n v="18000"/>
    <n v="0"/>
    <s v="Net Banking"/>
    <x v="46"/>
    <x v="2"/>
  </r>
  <r>
    <n v="5552"/>
    <d v="2025-07-26T00:00:00"/>
    <n v="1016"/>
    <s v="Pooja Reddy"/>
    <x v="0"/>
    <s v="Corporate"/>
    <x v="7"/>
    <x v="0"/>
    <n v="4"/>
    <n v="12000"/>
    <n v="15"/>
    <s v="Debit Card"/>
    <x v="118"/>
    <x v="2"/>
  </r>
  <r>
    <n v="5826"/>
    <d v="2025-11-02T00:00:00"/>
    <n v="1016"/>
    <s v="Pooja Reddy"/>
    <x v="0"/>
    <s v="Corporate"/>
    <x v="1"/>
    <x v="0"/>
    <n v="4"/>
    <n v="2500"/>
    <n v="0"/>
    <s v="UPI"/>
    <x v="40"/>
    <x v="10"/>
  </r>
  <r>
    <n v="5202"/>
    <d v="2025-03-12T00:00:00"/>
    <n v="1016"/>
    <s v="Pooja Reddy"/>
    <x v="0"/>
    <s v="Corporate"/>
    <x v="6"/>
    <x v="2"/>
    <n v="3"/>
    <n v="900"/>
    <n v="0"/>
    <s v="UPI"/>
    <x v="86"/>
    <x v="4"/>
  </r>
  <r>
    <n v="5262"/>
    <d v="2025-04-08T00:00:00"/>
    <n v="1016"/>
    <s v="Pooja Reddy"/>
    <x v="0"/>
    <s v="Corporate"/>
    <x v="7"/>
    <x v="0"/>
    <n v="3"/>
    <n v="12000"/>
    <n v="0"/>
    <s v="UPI"/>
    <x v="72"/>
    <x v="0"/>
  </r>
  <r>
    <n v="5360"/>
    <d v="2025-05-17T00:00:00"/>
    <n v="1016"/>
    <s v="Pooja Reddy"/>
    <x v="0"/>
    <s v="Corporate"/>
    <x v="8"/>
    <x v="1"/>
    <n v="3"/>
    <n v="200"/>
    <n v="10"/>
    <s v="Cash"/>
    <x v="119"/>
    <x v="8"/>
  </r>
  <r>
    <n v="5642"/>
    <d v="2025-08-28T00:00:00"/>
    <n v="1016"/>
    <s v="Pooja Reddy"/>
    <x v="1"/>
    <s v="Corporate"/>
    <x v="1"/>
    <x v="0"/>
    <n v="3"/>
    <n v="2500"/>
    <n v="5"/>
    <s v="Net Banking"/>
    <x v="74"/>
    <x v="6"/>
  </r>
  <r>
    <n v="5113"/>
    <d v="2025-02-11T00:00:00"/>
    <n v="1016"/>
    <s v="Pooja Reddy"/>
    <x v="0"/>
    <s v="Corporate"/>
    <x v="1"/>
    <x v="0"/>
    <n v="2"/>
    <n v="2500"/>
    <n v="0"/>
    <s v="Cash"/>
    <x v="7"/>
    <x v="3"/>
  </r>
  <r>
    <n v="5125"/>
    <d v="2025-02-13T00:00:00"/>
    <n v="1016"/>
    <s v="Pooja Reddy"/>
    <x v="0"/>
    <s v="Corporate"/>
    <x v="5"/>
    <x v="0"/>
    <n v="2"/>
    <n v="22000"/>
    <n v="10"/>
    <s v="Net Banking"/>
    <x v="97"/>
    <x v="3"/>
  </r>
  <r>
    <n v="5518"/>
    <d v="2025-07-13T00:00:00"/>
    <n v="1016"/>
    <s v="Pooja Reddy"/>
    <x v="0"/>
    <s v="Corporate"/>
    <x v="1"/>
    <x v="0"/>
    <n v="2"/>
    <n v="2500"/>
    <n v="0"/>
    <s v="Debit Card"/>
    <x v="7"/>
    <x v="2"/>
  </r>
  <r>
    <n v="5159"/>
    <d v="2025-02-22T00:00:00"/>
    <n v="1016"/>
    <s v="Pooja Reddy"/>
    <x v="0"/>
    <s v="Corporate"/>
    <x v="5"/>
    <x v="0"/>
    <n v="1"/>
    <n v="22000"/>
    <n v="0"/>
    <s v="UPI"/>
    <x v="10"/>
    <x v="3"/>
  </r>
  <r>
    <n v="5888"/>
    <d v="2025-11-26T00:00:00"/>
    <n v="1016"/>
    <s v="Pooja Reddy"/>
    <x v="0"/>
    <s v="Corporate"/>
    <x v="2"/>
    <x v="0"/>
    <n v="1"/>
    <n v="55000"/>
    <n v="5"/>
    <s v="UPI"/>
    <x v="43"/>
    <x v="10"/>
  </r>
  <r>
    <n v="5340"/>
    <d v="2025-05-06T00:00:00"/>
    <n v="1017"/>
    <s v="Diya Nair"/>
    <x v="2"/>
    <s v="Consumer"/>
    <x v="4"/>
    <x v="2"/>
    <n v="5"/>
    <n v="16000"/>
    <n v="5"/>
    <s v="Net Banking"/>
    <x v="120"/>
    <x v="8"/>
  </r>
  <r>
    <n v="5745"/>
    <d v="2025-10-07T00:00:00"/>
    <n v="1017"/>
    <s v="Diya Nair"/>
    <x v="2"/>
    <s v="Consumer"/>
    <x v="1"/>
    <x v="0"/>
    <n v="5"/>
    <n v="2500"/>
    <n v="5"/>
    <s v="Debit Card"/>
    <x v="36"/>
    <x v="11"/>
  </r>
  <r>
    <n v="5938"/>
    <d v="2025-12-12T00:00:00"/>
    <n v="1017"/>
    <s v="Diya Nair"/>
    <x v="2"/>
    <s v="Consumer"/>
    <x v="0"/>
    <x v="0"/>
    <n v="5"/>
    <n v="6000"/>
    <n v="0"/>
    <s v="Credit Card"/>
    <x v="0"/>
    <x v="1"/>
  </r>
  <r>
    <n v="5129"/>
    <d v="2025-02-14T00:00:00"/>
    <n v="1017"/>
    <s v="Diya Nair"/>
    <x v="2"/>
    <s v="Consumer"/>
    <x v="11"/>
    <x v="0"/>
    <n v="4"/>
    <n v="9500"/>
    <n v="0"/>
    <s v="Net Banking"/>
    <x v="59"/>
    <x v="3"/>
  </r>
  <r>
    <n v="5699"/>
    <d v="2025-09-22T00:00:00"/>
    <n v="1017"/>
    <s v="Diya Nair"/>
    <x v="2"/>
    <s v="Consumer"/>
    <x v="9"/>
    <x v="2"/>
    <n v="4"/>
    <n v="7500"/>
    <n v="10"/>
    <s v="UPI"/>
    <x v="55"/>
    <x v="7"/>
  </r>
  <r>
    <n v="5806"/>
    <d v="2025-10-27T00:00:00"/>
    <n v="1017"/>
    <s v="Diya Nair"/>
    <x v="2"/>
    <s v="Consumer"/>
    <x v="7"/>
    <x v="0"/>
    <n v="4"/>
    <n v="12000"/>
    <n v="10"/>
    <s v="Debit Card"/>
    <x v="121"/>
    <x v="11"/>
  </r>
  <r>
    <n v="5022"/>
    <d v="2025-01-06T00:00:00"/>
    <n v="1017"/>
    <s v="Diya Nair"/>
    <x v="2"/>
    <s v="Consumer"/>
    <x v="8"/>
    <x v="1"/>
    <n v="3"/>
    <n v="200"/>
    <n v="0"/>
    <s v="Credit Card"/>
    <x v="42"/>
    <x v="9"/>
  </r>
  <r>
    <n v="5700"/>
    <d v="2025-09-22T00:00:00"/>
    <n v="1017"/>
    <s v="Diya Nair"/>
    <x v="2"/>
    <s v="Consumer"/>
    <x v="8"/>
    <x v="1"/>
    <n v="3"/>
    <n v="200"/>
    <n v="0"/>
    <s v="UPI"/>
    <x v="42"/>
    <x v="7"/>
  </r>
  <r>
    <n v="5811"/>
    <d v="2025-10-29T00:00:00"/>
    <n v="1017"/>
    <s v="Diya Nair"/>
    <x v="2"/>
    <s v="Consumer"/>
    <x v="3"/>
    <x v="1"/>
    <n v="3"/>
    <n v="350"/>
    <n v="0"/>
    <s v="Credit Card"/>
    <x v="22"/>
    <x v="11"/>
  </r>
  <r>
    <n v="5110"/>
    <d v="2025-02-09T00:00:00"/>
    <n v="1017"/>
    <s v="Diya Nair"/>
    <x v="2"/>
    <s v="Consumer"/>
    <x v="7"/>
    <x v="0"/>
    <n v="2"/>
    <n v="12000"/>
    <n v="0"/>
    <s v="UPI"/>
    <x v="1"/>
    <x v="3"/>
  </r>
  <r>
    <n v="5373"/>
    <d v="2025-05-23T00:00:00"/>
    <n v="1017"/>
    <s v="Diya Nair"/>
    <x v="2"/>
    <s v="Consumer"/>
    <x v="7"/>
    <x v="0"/>
    <n v="2"/>
    <n v="12000"/>
    <n v="0"/>
    <s v="Cash"/>
    <x v="1"/>
    <x v="8"/>
  </r>
  <r>
    <n v="5494"/>
    <d v="2025-07-07T00:00:00"/>
    <n v="1017"/>
    <s v="Diya Nair"/>
    <x v="1"/>
    <s v="Consumer"/>
    <x v="1"/>
    <x v="0"/>
    <n v="2"/>
    <n v="2500"/>
    <n v="0"/>
    <s v="Credit Card"/>
    <x v="7"/>
    <x v="2"/>
  </r>
  <r>
    <n v="5809"/>
    <d v="2025-10-29T00:00:00"/>
    <n v="1017"/>
    <s v="Diya Nair"/>
    <x v="2"/>
    <s v="Consumer"/>
    <x v="11"/>
    <x v="0"/>
    <n v="2"/>
    <n v="9500"/>
    <n v="0"/>
    <s v="Cash"/>
    <x v="122"/>
    <x v="11"/>
  </r>
  <r>
    <n v="5191"/>
    <d v="2025-03-06T00:00:00"/>
    <n v="1017"/>
    <s v="Diya Nair"/>
    <x v="2"/>
    <s v="Consumer"/>
    <x v="5"/>
    <x v="0"/>
    <n v="1"/>
    <n v="22000"/>
    <n v="10"/>
    <s v="UPI"/>
    <x v="123"/>
    <x v="4"/>
  </r>
  <r>
    <n v="5251"/>
    <d v="2025-04-01T00:00:00"/>
    <n v="1017"/>
    <s v="Diya Nair"/>
    <x v="2"/>
    <s v="Consumer"/>
    <x v="9"/>
    <x v="2"/>
    <n v="1"/>
    <n v="7500"/>
    <n v="0"/>
    <s v="Credit Card"/>
    <x v="2"/>
    <x v="0"/>
  </r>
  <r>
    <n v="5617"/>
    <d v="2025-08-20T00:00:00"/>
    <n v="1017"/>
    <s v="Diya Nair"/>
    <x v="2"/>
    <s v="Consumer"/>
    <x v="7"/>
    <x v="0"/>
    <n v="1"/>
    <n v="12000"/>
    <n v="0"/>
    <s v="Cash"/>
    <x v="25"/>
    <x v="6"/>
  </r>
  <r>
    <n v="5151"/>
    <d v="2025-02-21T00:00:00"/>
    <n v="1018"/>
    <s v="Tara Sharma"/>
    <x v="4"/>
    <s v="Consumer"/>
    <x v="1"/>
    <x v="0"/>
    <n v="5"/>
    <n v="2500"/>
    <n v="15"/>
    <s v="Cash"/>
    <x v="124"/>
    <x v="3"/>
  </r>
  <r>
    <n v="5183"/>
    <d v="2025-03-03T00:00:00"/>
    <n v="1018"/>
    <s v="Tara Sharma"/>
    <x v="4"/>
    <s v="Consumer"/>
    <x v="3"/>
    <x v="1"/>
    <n v="5"/>
    <n v="350"/>
    <n v="0"/>
    <s v="Debit Card"/>
    <x v="13"/>
    <x v="4"/>
  </r>
  <r>
    <n v="5520"/>
    <d v="2025-07-14T00:00:00"/>
    <n v="1018"/>
    <s v="Tara Sharma"/>
    <x v="4"/>
    <s v="Consumer"/>
    <x v="11"/>
    <x v="0"/>
    <n v="5"/>
    <n v="9500"/>
    <n v="5"/>
    <s v="Net Banking"/>
    <x v="125"/>
    <x v="2"/>
  </r>
  <r>
    <n v="5562"/>
    <d v="2025-07-31T00:00:00"/>
    <n v="1018"/>
    <s v="Tara Sharma"/>
    <x v="4"/>
    <s v="Consumer"/>
    <x v="0"/>
    <x v="0"/>
    <n v="5"/>
    <n v="6000"/>
    <n v="5"/>
    <s v="Debit Card"/>
    <x v="50"/>
    <x v="2"/>
  </r>
  <r>
    <n v="5693"/>
    <d v="2025-09-21T00:00:00"/>
    <n v="1018"/>
    <s v="Tara Sharma"/>
    <x v="4"/>
    <s v="Consumer"/>
    <x v="10"/>
    <x v="0"/>
    <n v="5"/>
    <n v="18000"/>
    <n v="0"/>
    <s v="Cash"/>
    <x v="100"/>
    <x v="7"/>
  </r>
  <r>
    <n v="5897"/>
    <d v="2025-12-01T00:00:00"/>
    <n v="1018"/>
    <s v="Tara Sharma"/>
    <x v="4"/>
    <s v="Consumer"/>
    <x v="9"/>
    <x v="2"/>
    <n v="5"/>
    <n v="7500"/>
    <n v="0"/>
    <s v="Credit Card"/>
    <x v="27"/>
    <x v="1"/>
  </r>
  <r>
    <n v="5100"/>
    <d v="2025-02-07T00:00:00"/>
    <n v="1018"/>
    <s v="Tara Sharma"/>
    <x v="4"/>
    <s v="Consumer"/>
    <x v="7"/>
    <x v="0"/>
    <n v="4"/>
    <n v="12000"/>
    <n v="0"/>
    <s v="Debit Card"/>
    <x v="67"/>
    <x v="3"/>
  </r>
  <r>
    <n v="5886"/>
    <d v="2025-11-24T00:00:00"/>
    <n v="1018"/>
    <s v="Tara Sharma"/>
    <x v="4"/>
    <s v="Consumer"/>
    <x v="6"/>
    <x v="2"/>
    <n v="4"/>
    <n v="900"/>
    <n v="10"/>
    <s v="Net Banking"/>
    <x v="126"/>
    <x v="10"/>
  </r>
  <r>
    <n v="5261"/>
    <d v="2025-04-06T00:00:00"/>
    <n v="1018"/>
    <s v="Tara Sharma"/>
    <x v="4"/>
    <s v="Consumer"/>
    <x v="6"/>
    <x v="2"/>
    <n v="3"/>
    <n v="900"/>
    <n v="5"/>
    <s v="Cash"/>
    <x v="127"/>
    <x v="0"/>
  </r>
  <r>
    <n v="5346"/>
    <d v="2025-05-13T00:00:00"/>
    <n v="1018"/>
    <s v="Tara Sharma"/>
    <x v="4"/>
    <s v="Consumer"/>
    <x v="3"/>
    <x v="1"/>
    <n v="3"/>
    <n v="350"/>
    <n v="0"/>
    <s v="Debit Card"/>
    <x v="22"/>
    <x v="8"/>
  </r>
  <r>
    <n v="5893"/>
    <d v="2025-11-28T00:00:00"/>
    <n v="1018"/>
    <s v="Tara Sharma"/>
    <x v="4"/>
    <s v="Consumer"/>
    <x v="3"/>
    <x v="1"/>
    <n v="3"/>
    <n v="350"/>
    <n v="10"/>
    <s v="Credit Card"/>
    <x v="128"/>
    <x v="10"/>
  </r>
  <r>
    <n v="5016"/>
    <d v="2025-01-05T00:00:00"/>
    <n v="1018"/>
    <s v="Tara Sharma"/>
    <x v="4"/>
    <s v="Consumer"/>
    <x v="11"/>
    <x v="0"/>
    <n v="2"/>
    <n v="9500"/>
    <n v="10"/>
    <s v="Debit Card"/>
    <x v="30"/>
    <x v="9"/>
  </r>
  <r>
    <n v="5038"/>
    <d v="2025-01-14T00:00:00"/>
    <n v="1018"/>
    <s v="Tara Sharma"/>
    <x v="4"/>
    <s v="Consumer"/>
    <x v="7"/>
    <x v="0"/>
    <n v="2"/>
    <n v="12000"/>
    <n v="5"/>
    <s v="Credit Card"/>
    <x v="58"/>
    <x v="9"/>
  </r>
  <r>
    <n v="5103"/>
    <d v="2025-02-08T00:00:00"/>
    <n v="1018"/>
    <s v="Tara Sharma"/>
    <x v="4"/>
    <s v="Consumer"/>
    <x v="5"/>
    <x v="0"/>
    <n v="2"/>
    <n v="22000"/>
    <n v="10"/>
    <s v="UPI"/>
    <x v="97"/>
    <x v="3"/>
  </r>
  <r>
    <n v="5607"/>
    <d v="2025-08-17T00:00:00"/>
    <n v="1018"/>
    <s v="Tara Sharma"/>
    <x v="4"/>
    <s v="Consumer"/>
    <x v="10"/>
    <x v="0"/>
    <n v="2"/>
    <n v="18000"/>
    <n v="0"/>
    <s v="Cash"/>
    <x v="72"/>
    <x v="6"/>
  </r>
  <r>
    <n v="5741"/>
    <d v="2025-10-06T00:00:00"/>
    <n v="1018"/>
    <s v="Tara Sharma"/>
    <x v="4"/>
    <s v="Consumer"/>
    <x v="1"/>
    <x v="0"/>
    <n v="2"/>
    <n v="2500"/>
    <n v="0"/>
    <s v="Net Banking"/>
    <x v="7"/>
    <x v="11"/>
  </r>
  <r>
    <n v="5810"/>
    <d v="2025-10-29T00:00:00"/>
    <n v="1018"/>
    <s v="Tara Sharma"/>
    <x v="4"/>
    <s v="Consumer"/>
    <x v="3"/>
    <x v="1"/>
    <n v="2"/>
    <n v="350"/>
    <n v="10"/>
    <s v="Net Banking"/>
    <x v="92"/>
    <x v="11"/>
  </r>
  <r>
    <n v="5955"/>
    <d v="2025-12-17T00:00:00"/>
    <n v="1018"/>
    <s v="Tara Sharma"/>
    <x v="4"/>
    <s v="Consumer"/>
    <x v="3"/>
    <x v="1"/>
    <n v="2"/>
    <n v="350"/>
    <n v="15"/>
    <s v="Net Banking"/>
    <x v="79"/>
    <x v="1"/>
  </r>
  <r>
    <n v="5973"/>
    <d v="2025-12-21T00:00:00"/>
    <n v="1018"/>
    <s v="Tara Sharma"/>
    <x v="4"/>
    <s v="Consumer"/>
    <x v="1"/>
    <x v="0"/>
    <n v="2"/>
    <n v="2500"/>
    <n v="0"/>
    <s v="UPI"/>
    <x v="7"/>
    <x v="1"/>
  </r>
  <r>
    <n v="5082"/>
    <d v="2025-01-31T00:00:00"/>
    <n v="1018"/>
    <s v="Tara Sharma"/>
    <x v="1"/>
    <s v="Consumer"/>
    <x v="3"/>
    <x v="1"/>
    <n v="1"/>
    <n v="350"/>
    <n v="0"/>
    <s v="UPI"/>
    <x v="93"/>
    <x v="9"/>
  </r>
  <r>
    <n v="5281"/>
    <d v="2025-04-15T00:00:00"/>
    <n v="1018"/>
    <s v="Tara Sharma"/>
    <x v="4"/>
    <s v="Consumer"/>
    <x v="7"/>
    <x v="0"/>
    <n v="1"/>
    <n v="12000"/>
    <n v="5"/>
    <s v="UPI"/>
    <x v="129"/>
    <x v="0"/>
  </r>
  <r>
    <n v="5919"/>
    <d v="2025-12-05T00:00:00"/>
    <n v="1018"/>
    <s v="Tara Sharma"/>
    <x v="4"/>
    <s v="Consumer"/>
    <x v="1"/>
    <x v="0"/>
    <n v="1"/>
    <n v="2500"/>
    <n v="10"/>
    <s v="Debit Card"/>
    <x v="130"/>
    <x v="1"/>
  </r>
  <r>
    <n v="5929"/>
    <d v="2025-12-08T00:00:00"/>
    <n v="1018"/>
    <s v="Tara Sharma"/>
    <x v="4"/>
    <s v="Consumer"/>
    <x v="1"/>
    <x v="0"/>
    <n v="1"/>
    <n v="2500"/>
    <n v="5"/>
    <s v="Credit Card"/>
    <x v="115"/>
    <x v="1"/>
  </r>
  <r>
    <n v="5523"/>
    <d v="2025-07-15T00:00:00"/>
    <n v="1019"/>
    <s v="Tara Das"/>
    <x v="1"/>
    <s v="Consumer"/>
    <x v="8"/>
    <x v="1"/>
    <n v="5"/>
    <n v="200"/>
    <n v="5"/>
    <s v="UPI"/>
    <x v="131"/>
    <x v="2"/>
  </r>
  <r>
    <n v="5721"/>
    <d v="2025-09-27T00:00:00"/>
    <n v="1019"/>
    <s v="Tara Das"/>
    <x v="0"/>
    <s v="Consumer"/>
    <x v="1"/>
    <x v="0"/>
    <n v="5"/>
    <n v="2500"/>
    <n v="10"/>
    <s v="Credit Card"/>
    <x v="99"/>
    <x v="7"/>
  </r>
  <r>
    <n v="5887"/>
    <d v="2025-11-26T00:00:00"/>
    <n v="1019"/>
    <s v="Tara Das"/>
    <x v="0"/>
    <s v="Consumer"/>
    <x v="7"/>
    <x v="0"/>
    <n v="5"/>
    <n v="12000"/>
    <n v="0"/>
    <s v="Debit Card"/>
    <x v="35"/>
    <x v="10"/>
  </r>
  <r>
    <n v="5867"/>
    <d v="2025-11-16T00:00:00"/>
    <n v="1019"/>
    <s v="Tara Das"/>
    <x v="0"/>
    <s v="Consumer"/>
    <x v="1"/>
    <x v="0"/>
    <n v="4"/>
    <n v="2500"/>
    <n v="5"/>
    <s v="UPI"/>
    <x v="80"/>
    <x v="10"/>
  </r>
  <r>
    <n v="5521"/>
    <d v="2025-07-14T00:00:00"/>
    <n v="1019"/>
    <s v="Tara Das"/>
    <x v="0"/>
    <s v="Consumer"/>
    <x v="1"/>
    <x v="0"/>
    <n v="3"/>
    <n v="2500"/>
    <n v="15"/>
    <s v="UPI"/>
    <x v="132"/>
    <x v="2"/>
  </r>
  <r>
    <n v="5162"/>
    <d v="2025-02-23T00:00:00"/>
    <n v="1019"/>
    <s v="Tara Das"/>
    <x v="0"/>
    <s v="Consumer"/>
    <x v="7"/>
    <x v="0"/>
    <n v="2"/>
    <n v="12000"/>
    <n v="10"/>
    <s v="Net Banking"/>
    <x v="78"/>
    <x v="3"/>
  </r>
  <r>
    <n v="5176"/>
    <d v="2025-02-27T00:00:00"/>
    <n v="1019"/>
    <s v="Tara Das"/>
    <x v="0"/>
    <s v="Consumer"/>
    <x v="11"/>
    <x v="0"/>
    <n v="2"/>
    <n v="9500"/>
    <n v="5"/>
    <s v="Cash"/>
    <x v="63"/>
    <x v="3"/>
  </r>
  <r>
    <n v="5827"/>
    <d v="2025-11-03T00:00:00"/>
    <n v="1019"/>
    <s v="Tara Das"/>
    <x v="0"/>
    <s v="Consumer"/>
    <x v="4"/>
    <x v="2"/>
    <n v="2"/>
    <n v="16000"/>
    <n v="10"/>
    <s v="Debit Card"/>
    <x v="73"/>
    <x v="10"/>
  </r>
  <r>
    <n v="5067"/>
    <d v="2025-01-23T00:00:00"/>
    <n v="1019"/>
    <s v="Tara Das"/>
    <x v="0"/>
    <s v="Consumer"/>
    <x v="1"/>
    <x v="0"/>
    <n v="1"/>
    <n v="2500"/>
    <n v="0"/>
    <s v="Cash"/>
    <x v="12"/>
    <x v="9"/>
  </r>
  <r>
    <n v="5091"/>
    <d v="2025-02-04T00:00:00"/>
    <n v="1019"/>
    <s v="Tara Das"/>
    <x v="0"/>
    <s v="Consumer"/>
    <x v="11"/>
    <x v="0"/>
    <n v="1"/>
    <n v="9500"/>
    <n v="0"/>
    <s v="Net Banking"/>
    <x v="80"/>
    <x v="3"/>
  </r>
  <r>
    <n v="5479"/>
    <d v="2025-07-03T00:00:00"/>
    <n v="1019"/>
    <s v="Tara Das"/>
    <x v="0"/>
    <s v="Consumer"/>
    <x v="1"/>
    <x v="0"/>
    <n v="1"/>
    <n v="2500"/>
    <n v="5"/>
    <s v="Debit Card"/>
    <x v="115"/>
    <x v="2"/>
  </r>
  <r>
    <n v="5538"/>
    <d v="2025-07-20T00:00:00"/>
    <n v="1019"/>
    <s v="Tara Das"/>
    <x v="0"/>
    <s v="Consumer"/>
    <x v="3"/>
    <x v="1"/>
    <n v="1"/>
    <n v="350"/>
    <n v="10"/>
    <s v="Cash"/>
    <x v="76"/>
    <x v="2"/>
  </r>
  <r>
    <n v="5752"/>
    <d v="2025-10-09T00:00:00"/>
    <n v="1019"/>
    <s v="Tara Das"/>
    <x v="0"/>
    <s v="Consumer"/>
    <x v="2"/>
    <x v="0"/>
    <n v="1"/>
    <n v="55000"/>
    <n v="10"/>
    <s v="Net Banking"/>
    <x v="133"/>
    <x v="11"/>
  </r>
  <r>
    <n v="5789"/>
    <d v="2025-10-20T00:00:00"/>
    <n v="1019"/>
    <s v="Tara Das"/>
    <x v="0"/>
    <s v="Consumer"/>
    <x v="1"/>
    <x v="0"/>
    <n v="1"/>
    <n v="2500"/>
    <n v="0"/>
    <s v="Cash"/>
    <x v="12"/>
    <x v="11"/>
  </r>
  <r>
    <n v="5104"/>
    <d v="2025-02-08T00:00:00"/>
    <n v="1020"/>
    <s v="Meera Singh"/>
    <x v="0"/>
    <s v="Small Business"/>
    <x v="3"/>
    <x v="1"/>
    <n v="5"/>
    <n v="350"/>
    <n v="0"/>
    <s v="Credit Card"/>
    <x v="13"/>
    <x v="3"/>
  </r>
  <r>
    <n v="5716"/>
    <d v="2025-09-26T00:00:00"/>
    <n v="1020"/>
    <s v="Meera Singh"/>
    <x v="0"/>
    <s v="Small Business"/>
    <x v="11"/>
    <x v="0"/>
    <n v="5"/>
    <n v="9500"/>
    <n v="0"/>
    <s v="UPI"/>
    <x v="107"/>
    <x v="7"/>
  </r>
  <r>
    <n v="5983"/>
    <d v="2025-12-25T00:00:00"/>
    <n v="1020"/>
    <s v="Meera Singh"/>
    <x v="0"/>
    <s v="Small Business"/>
    <x v="7"/>
    <x v="0"/>
    <n v="5"/>
    <n v="12000"/>
    <n v="5"/>
    <s v="UPI"/>
    <x v="14"/>
    <x v="1"/>
  </r>
  <r>
    <n v="5992"/>
    <d v="2025-12-29T00:00:00"/>
    <n v="1020"/>
    <s v="Meera Singh"/>
    <x v="0"/>
    <s v="Small Business"/>
    <x v="9"/>
    <x v="2"/>
    <n v="5"/>
    <n v="7500"/>
    <n v="0"/>
    <s v="Credit Card"/>
    <x v="27"/>
    <x v="1"/>
  </r>
  <r>
    <n v="5204"/>
    <d v="2025-03-12T00:00:00"/>
    <n v="1020"/>
    <s v="Meera Singh"/>
    <x v="0"/>
    <s v="Small Business"/>
    <x v="1"/>
    <x v="0"/>
    <n v="4"/>
    <n v="2500"/>
    <n v="0"/>
    <s v="Debit Card"/>
    <x v="40"/>
    <x v="4"/>
  </r>
  <r>
    <n v="5276"/>
    <d v="2025-04-13T00:00:00"/>
    <n v="1020"/>
    <s v="Meera Singh"/>
    <x v="0"/>
    <s v="Small Business"/>
    <x v="0"/>
    <x v="0"/>
    <n v="4"/>
    <n v="6000"/>
    <n v="5"/>
    <s v="UPI"/>
    <x v="58"/>
    <x v="0"/>
  </r>
  <r>
    <n v="5286"/>
    <d v="2025-04-16T00:00:00"/>
    <n v="1020"/>
    <s v="Meera Singh"/>
    <x v="0"/>
    <s v="Small Business"/>
    <x v="7"/>
    <x v="0"/>
    <n v="4"/>
    <n v="12000"/>
    <n v="0"/>
    <s v="UPI"/>
    <x v="67"/>
    <x v="0"/>
  </r>
  <r>
    <n v="5304"/>
    <d v="2025-04-24T00:00:00"/>
    <n v="1020"/>
    <s v="Meera Singh"/>
    <x v="0"/>
    <s v="Small Business"/>
    <x v="7"/>
    <x v="0"/>
    <n v="4"/>
    <n v="12000"/>
    <n v="15"/>
    <s v="Credit Card"/>
    <x v="118"/>
    <x v="0"/>
  </r>
  <r>
    <n v="5456"/>
    <d v="2025-06-24T00:00:00"/>
    <n v="1020"/>
    <s v="Meera Singh"/>
    <x v="0"/>
    <s v="Small Business"/>
    <x v="1"/>
    <x v="0"/>
    <n v="4"/>
    <n v="2500"/>
    <n v="5"/>
    <s v="Net Banking"/>
    <x v="80"/>
    <x v="5"/>
  </r>
  <r>
    <n v="5615"/>
    <d v="2025-08-20T00:00:00"/>
    <n v="1020"/>
    <s v="Meera Singh"/>
    <x v="0"/>
    <s v="Small Business"/>
    <x v="5"/>
    <x v="0"/>
    <n v="4"/>
    <n v="22000"/>
    <n v="0"/>
    <s v="UPI"/>
    <x v="19"/>
    <x v="6"/>
  </r>
  <r>
    <n v="5830"/>
    <d v="2025-11-03T00:00:00"/>
    <n v="1020"/>
    <s v="Meera Singh"/>
    <x v="0"/>
    <s v="Small Business"/>
    <x v="1"/>
    <x v="0"/>
    <n v="4"/>
    <n v="2500"/>
    <n v="5"/>
    <s v="UPI"/>
    <x v="80"/>
    <x v="10"/>
  </r>
  <r>
    <n v="5852"/>
    <d v="2025-11-08T00:00:00"/>
    <n v="1020"/>
    <s v="Meera Singh"/>
    <x v="0"/>
    <s v="Small Business"/>
    <x v="9"/>
    <x v="2"/>
    <n v="4"/>
    <n v="7500"/>
    <n v="5"/>
    <s v="Debit Card"/>
    <x v="50"/>
    <x v="10"/>
  </r>
  <r>
    <n v="5135"/>
    <d v="2025-02-16T00:00:00"/>
    <n v="1020"/>
    <s v="Meera Singh"/>
    <x v="0"/>
    <s v="Small Business"/>
    <x v="7"/>
    <x v="0"/>
    <n v="3"/>
    <n v="12000"/>
    <n v="0"/>
    <s v="Debit Card"/>
    <x v="72"/>
    <x v="3"/>
  </r>
  <r>
    <n v="5972"/>
    <d v="2025-12-21T00:00:00"/>
    <n v="1020"/>
    <s v="Meera Singh"/>
    <x v="0"/>
    <s v="Small Business"/>
    <x v="2"/>
    <x v="0"/>
    <n v="3"/>
    <n v="55000"/>
    <n v="0"/>
    <s v="UPI"/>
    <x v="23"/>
    <x v="1"/>
  </r>
  <r>
    <n v="5139"/>
    <d v="2025-02-17T00:00:00"/>
    <n v="1020"/>
    <s v="Meera Singh"/>
    <x v="0"/>
    <s v="Small Business"/>
    <x v="9"/>
    <x v="2"/>
    <n v="2"/>
    <n v="7500"/>
    <n v="15"/>
    <s v="Debit Card"/>
    <x v="54"/>
    <x v="3"/>
  </r>
  <r>
    <n v="5194"/>
    <d v="2025-03-07T00:00:00"/>
    <n v="1020"/>
    <s v="Meera Singh"/>
    <x v="0"/>
    <s v="Small Business"/>
    <x v="3"/>
    <x v="1"/>
    <n v="2"/>
    <n v="350"/>
    <n v="0"/>
    <s v="Credit Card"/>
    <x v="6"/>
    <x v="4"/>
  </r>
  <r>
    <n v="5477"/>
    <d v="2025-07-03T00:00:00"/>
    <n v="1020"/>
    <s v="Meera Singh"/>
    <x v="0"/>
    <s v="Small Business"/>
    <x v="0"/>
    <x v="0"/>
    <n v="2"/>
    <n v="6000"/>
    <n v="0"/>
    <s v="Net Banking"/>
    <x v="25"/>
    <x v="2"/>
  </r>
  <r>
    <n v="5650"/>
    <d v="2025-08-31T00:00:00"/>
    <n v="1020"/>
    <s v="Meera Singh"/>
    <x v="0"/>
    <s v="Small Business"/>
    <x v="3"/>
    <x v="1"/>
    <n v="2"/>
    <n v="350"/>
    <n v="0"/>
    <s v="UPI"/>
    <x v="6"/>
    <x v="6"/>
  </r>
  <r>
    <n v="5792"/>
    <d v="2025-10-21T00:00:00"/>
    <n v="1020"/>
    <s v="Meera Singh"/>
    <x v="0"/>
    <s v="Small Business"/>
    <x v="9"/>
    <x v="2"/>
    <n v="2"/>
    <n v="7500"/>
    <n v="0"/>
    <s v="Credit Card"/>
    <x v="106"/>
    <x v="11"/>
  </r>
  <r>
    <n v="5088"/>
    <d v="2025-02-03T00:00:00"/>
    <n v="1020"/>
    <s v="Meera Singh"/>
    <x v="0"/>
    <s v="Small Business"/>
    <x v="9"/>
    <x v="2"/>
    <n v="1"/>
    <n v="7500"/>
    <n v="0"/>
    <s v="Debit Card"/>
    <x v="2"/>
    <x v="3"/>
  </r>
  <r>
    <n v="5227"/>
    <d v="2025-03-26T00:00:00"/>
    <n v="1020"/>
    <s v="Meera Singh"/>
    <x v="0"/>
    <s v="Small Business"/>
    <x v="8"/>
    <x v="1"/>
    <n v="1"/>
    <n v="200"/>
    <n v="0"/>
    <s v="Credit Card"/>
    <x v="75"/>
    <x v="4"/>
  </r>
  <r>
    <n v="5605"/>
    <d v="2025-08-16T00:00:00"/>
    <n v="1020"/>
    <s v="Meera Singh"/>
    <x v="0"/>
    <s v="Small Business"/>
    <x v="0"/>
    <x v="0"/>
    <n v="1"/>
    <n v="6000"/>
    <n v="0"/>
    <s v="Cash"/>
    <x v="98"/>
    <x v="6"/>
  </r>
  <r>
    <n v="5769"/>
    <d v="2025-10-14T00:00:00"/>
    <n v="1020"/>
    <s v="Meera Singh"/>
    <x v="0"/>
    <s v="Small Business"/>
    <x v="3"/>
    <x v="1"/>
    <n v="1"/>
    <n v="350"/>
    <n v="0"/>
    <s v="Net Banking"/>
    <x v="93"/>
    <x v="11"/>
  </r>
  <r>
    <n v="5783"/>
    <d v="2025-10-20T00:00:00"/>
    <n v="1020"/>
    <s v="Meera Singh"/>
    <x v="0"/>
    <s v="Small Business"/>
    <x v="6"/>
    <x v="2"/>
    <n v="1"/>
    <n v="900"/>
    <n v="15"/>
    <s v="Debit Card"/>
    <x v="103"/>
    <x v="11"/>
  </r>
  <r>
    <n v="5851"/>
    <d v="2025-11-08T00:00:00"/>
    <n v="1020"/>
    <s v="Meera Singh"/>
    <x v="0"/>
    <s v="Small Business"/>
    <x v="11"/>
    <x v="0"/>
    <n v="1"/>
    <n v="9500"/>
    <n v="0"/>
    <s v="Net Banking"/>
    <x v="80"/>
    <x v="10"/>
  </r>
  <r>
    <n v="5971"/>
    <d v="2025-12-20T00:00:00"/>
    <n v="1020"/>
    <s v="Meera Singh"/>
    <x v="0"/>
    <s v="Small Business"/>
    <x v="1"/>
    <x v="0"/>
    <n v="1"/>
    <n v="2500"/>
    <n v="5"/>
    <s v="Credit Card"/>
    <x v="115"/>
    <x v="1"/>
  </r>
  <r>
    <n v="5012"/>
    <d v="2025-01-03T00:00:00"/>
    <n v="1021"/>
    <s v="Sneha Das"/>
    <x v="3"/>
    <s v="Consumer"/>
    <x v="8"/>
    <x v="1"/>
    <n v="5"/>
    <n v="200"/>
    <n v="0"/>
    <s v="UPI"/>
    <x v="15"/>
    <x v="9"/>
  </r>
  <r>
    <n v="5030"/>
    <d v="2025-01-10T00:00:00"/>
    <n v="1021"/>
    <s v="Sneha Das"/>
    <x v="3"/>
    <s v="Consumer"/>
    <x v="1"/>
    <x v="0"/>
    <n v="5"/>
    <n v="2500"/>
    <n v="0"/>
    <s v="Credit Card"/>
    <x v="16"/>
    <x v="9"/>
  </r>
  <r>
    <n v="5057"/>
    <d v="2025-01-19T00:00:00"/>
    <n v="1021"/>
    <s v="Sneha Das"/>
    <x v="3"/>
    <s v="Consumer"/>
    <x v="3"/>
    <x v="1"/>
    <n v="5"/>
    <n v="350"/>
    <n v="10"/>
    <s v="Credit Card"/>
    <x v="96"/>
    <x v="9"/>
  </r>
  <r>
    <n v="5493"/>
    <d v="2025-07-07T00:00:00"/>
    <n v="1021"/>
    <s v="Sneha Das"/>
    <x v="3"/>
    <s v="Consumer"/>
    <x v="4"/>
    <x v="2"/>
    <n v="5"/>
    <n v="16000"/>
    <n v="15"/>
    <s v="Cash"/>
    <x v="134"/>
    <x v="2"/>
  </r>
  <r>
    <n v="5860"/>
    <d v="2025-11-12T00:00:00"/>
    <n v="1021"/>
    <s v="Sneha Das"/>
    <x v="3"/>
    <s v="Consumer"/>
    <x v="8"/>
    <x v="1"/>
    <n v="5"/>
    <n v="200"/>
    <n v="0"/>
    <s v="Debit Card"/>
    <x v="15"/>
    <x v="10"/>
  </r>
  <r>
    <n v="5347"/>
    <d v="2025-05-13T00:00:00"/>
    <n v="1021"/>
    <s v="Sneha Das"/>
    <x v="3"/>
    <s v="Consumer"/>
    <x v="11"/>
    <x v="0"/>
    <n v="4"/>
    <n v="9500"/>
    <n v="5"/>
    <s v="Debit Card"/>
    <x v="135"/>
    <x v="8"/>
  </r>
  <r>
    <n v="5674"/>
    <d v="2025-09-11T00:00:00"/>
    <n v="1021"/>
    <s v="Sneha Das"/>
    <x v="3"/>
    <s v="Consumer"/>
    <x v="3"/>
    <x v="1"/>
    <n v="4"/>
    <n v="350"/>
    <n v="0"/>
    <s v="Credit Card"/>
    <x v="28"/>
    <x v="7"/>
  </r>
  <r>
    <n v="5774"/>
    <d v="2025-10-17T00:00:00"/>
    <n v="1021"/>
    <s v="Sneha Das"/>
    <x v="3"/>
    <s v="Consumer"/>
    <x v="0"/>
    <x v="0"/>
    <n v="4"/>
    <n v="6000"/>
    <n v="0"/>
    <s v="Credit Card"/>
    <x v="1"/>
    <x v="11"/>
  </r>
  <r>
    <n v="5904"/>
    <d v="2025-12-02T00:00:00"/>
    <n v="1021"/>
    <s v="Sneha Das"/>
    <x v="3"/>
    <s v="Consumer"/>
    <x v="11"/>
    <x v="0"/>
    <n v="4"/>
    <n v="9500"/>
    <n v="0"/>
    <s v="Cash"/>
    <x v="59"/>
    <x v="1"/>
  </r>
  <r>
    <n v="5457"/>
    <d v="2025-06-24T00:00:00"/>
    <n v="1021"/>
    <s v="Sneha Das"/>
    <x v="3"/>
    <s v="Consumer"/>
    <x v="7"/>
    <x v="0"/>
    <n v="3"/>
    <n v="12000"/>
    <n v="0"/>
    <s v="UPI"/>
    <x v="72"/>
    <x v="5"/>
  </r>
  <r>
    <n v="5482"/>
    <d v="2025-07-04T00:00:00"/>
    <n v="1021"/>
    <s v="Sneha Das"/>
    <x v="3"/>
    <s v="Consumer"/>
    <x v="11"/>
    <x v="0"/>
    <n v="3"/>
    <n v="9500"/>
    <n v="15"/>
    <s v="UPI"/>
    <x v="136"/>
    <x v="2"/>
  </r>
  <r>
    <n v="5600"/>
    <d v="2025-08-14T00:00:00"/>
    <n v="1021"/>
    <s v="Sneha Das"/>
    <x v="3"/>
    <s v="Consumer"/>
    <x v="9"/>
    <x v="2"/>
    <n v="3"/>
    <n v="7500"/>
    <n v="0"/>
    <s v="Credit Card"/>
    <x v="52"/>
    <x v="6"/>
  </r>
  <r>
    <n v="5083"/>
    <d v="2025-01-31T00:00:00"/>
    <n v="1021"/>
    <s v="Sneha Das"/>
    <x v="3"/>
    <s v="Consumer"/>
    <x v="1"/>
    <x v="0"/>
    <n v="2"/>
    <n v="2500"/>
    <n v="5"/>
    <s v="Credit Card"/>
    <x v="91"/>
    <x v="9"/>
  </r>
  <r>
    <n v="5107"/>
    <d v="2025-02-09T00:00:00"/>
    <n v="1021"/>
    <s v="Sneha Das"/>
    <x v="1"/>
    <s v="Consumer"/>
    <x v="8"/>
    <x v="1"/>
    <n v="2"/>
    <n v="200"/>
    <n v="10"/>
    <s v="Net Banking"/>
    <x v="101"/>
    <x v="3"/>
  </r>
  <r>
    <n v="5211"/>
    <d v="2025-03-15T00:00:00"/>
    <n v="1021"/>
    <s v="Sneha Das"/>
    <x v="3"/>
    <s v="Consumer"/>
    <x v="8"/>
    <x v="1"/>
    <n v="2"/>
    <n v="200"/>
    <n v="0"/>
    <s v="Credit Card"/>
    <x v="24"/>
    <x v="4"/>
  </r>
  <r>
    <n v="5411"/>
    <d v="2025-06-08T00:00:00"/>
    <n v="1021"/>
    <s v="Sneha Das"/>
    <x v="3"/>
    <s v="Consumer"/>
    <x v="7"/>
    <x v="0"/>
    <n v="2"/>
    <n v="12000"/>
    <n v="5"/>
    <s v="Credit Card"/>
    <x v="58"/>
    <x v="5"/>
  </r>
  <r>
    <n v="5471"/>
    <d v="2025-06-30T00:00:00"/>
    <n v="1021"/>
    <s v="Sneha Das"/>
    <x v="3"/>
    <s v="Consumer"/>
    <x v="1"/>
    <x v="0"/>
    <n v="2"/>
    <n v="2500"/>
    <n v="0"/>
    <s v="Credit Card"/>
    <x v="7"/>
    <x v="5"/>
  </r>
  <r>
    <n v="5730"/>
    <d v="2025-09-30T00:00:00"/>
    <n v="1021"/>
    <s v="Sneha Das"/>
    <x v="3"/>
    <s v="Consumer"/>
    <x v="3"/>
    <x v="1"/>
    <n v="2"/>
    <n v="350"/>
    <n v="15"/>
    <s v="Debit Card"/>
    <x v="79"/>
    <x v="7"/>
  </r>
  <r>
    <n v="5072"/>
    <d v="2025-01-27T00:00:00"/>
    <n v="1021"/>
    <s v="Sneha Das"/>
    <x v="1"/>
    <s v="Consumer"/>
    <x v="1"/>
    <x v="0"/>
    <n v="1"/>
    <n v="2500"/>
    <n v="10"/>
    <s v="UPI"/>
    <x v="130"/>
    <x v="9"/>
  </r>
  <r>
    <n v="5292"/>
    <d v="2025-04-19T00:00:00"/>
    <n v="1021"/>
    <s v="Sneha Das"/>
    <x v="3"/>
    <s v="Consumer"/>
    <x v="2"/>
    <x v="0"/>
    <n v="1"/>
    <n v="55000"/>
    <n v="0"/>
    <s v="Cash"/>
    <x v="8"/>
    <x v="0"/>
  </r>
  <r>
    <n v="5678"/>
    <d v="2025-09-13T00:00:00"/>
    <n v="1021"/>
    <s v="Sneha Das"/>
    <x v="3"/>
    <s v="Consumer"/>
    <x v="4"/>
    <x v="2"/>
    <n v="1"/>
    <n v="16000"/>
    <n v="10"/>
    <s v="Net Banking"/>
    <x v="137"/>
    <x v="7"/>
  </r>
  <r>
    <n v="5060"/>
    <d v="2025-01-20T00:00:00"/>
    <n v="1022"/>
    <s v="Suresh Khan"/>
    <x v="4"/>
    <s v="Consumer"/>
    <x v="9"/>
    <x v="2"/>
    <n v="5"/>
    <n v="7500"/>
    <n v="5"/>
    <s v="UPI"/>
    <x v="95"/>
    <x v="9"/>
  </r>
  <r>
    <n v="5753"/>
    <d v="2025-10-09T00:00:00"/>
    <n v="1022"/>
    <s v="Suresh Khan"/>
    <x v="4"/>
    <s v="Consumer"/>
    <x v="11"/>
    <x v="0"/>
    <n v="5"/>
    <n v="9500"/>
    <n v="0"/>
    <s v="Debit Card"/>
    <x v="107"/>
    <x v="11"/>
  </r>
  <r>
    <n v="5756"/>
    <d v="2025-10-10T00:00:00"/>
    <n v="1022"/>
    <s v="Suresh Khan"/>
    <x v="4"/>
    <s v="Consumer"/>
    <x v="9"/>
    <x v="2"/>
    <n v="5"/>
    <n v="7500"/>
    <n v="10"/>
    <s v="Cash"/>
    <x v="102"/>
    <x v="11"/>
  </r>
  <r>
    <n v="5845"/>
    <d v="2025-11-07T00:00:00"/>
    <n v="1022"/>
    <s v="Suresh Khan"/>
    <x v="4"/>
    <s v="Consumer"/>
    <x v="4"/>
    <x v="2"/>
    <n v="4"/>
    <n v="16000"/>
    <n v="0"/>
    <s v="Cash"/>
    <x v="18"/>
    <x v="10"/>
  </r>
  <r>
    <n v="5891"/>
    <d v="2025-11-28T00:00:00"/>
    <n v="1022"/>
    <s v="Suresh Khan"/>
    <x v="4"/>
    <s v="Consumer"/>
    <x v="1"/>
    <x v="0"/>
    <n v="4"/>
    <n v="2500"/>
    <n v="10"/>
    <s v="Credit Card"/>
    <x v="138"/>
    <x v="10"/>
  </r>
  <r>
    <n v="5982"/>
    <d v="2025-12-24T00:00:00"/>
    <n v="1022"/>
    <s v="Suresh Khan"/>
    <x v="4"/>
    <s v="Consumer"/>
    <x v="8"/>
    <x v="1"/>
    <n v="4"/>
    <n v="200"/>
    <n v="15"/>
    <s v="Credit Card"/>
    <x v="41"/>
    <x v="1"/>
  </r>
  <r>
    <n v="5063"/>
    <d v="2025-01-21T00:00:00"/>
    <n v="1022"/>
    <s v="Suresh Khan"/>
    <x v="4"/>
    <s v="Consumer"/>
    <x v="3"/>
    <x v="1"/>
    <n v="3"/>
    <n v="350"/>
    <n v="0"/>
    <s v="UPI"/>
    <x v="22"/>
    <x v="9"/>
  </r>
  <r>
    <n v="5385"/>
    <d v="2025-05-30T00:00:00"/>
    <n v="1022"/>
    <s v="Suresh Khan"/>
    <x v="4"/>
    <s v="Consumer"/>
    <x v="5"/>
    <x v="0"/>
    <n v="3"/>
    <n v="22000"/>
    <n v="15"/>
    <s v="Debit Card"/>
    <x v="139"/>
    <x v="8"/>
  </r>
  <r>
    <n v="5901"/>
    <d v="2025-12-02T00:00:00"/>
    <n v="1022"/>
    <s v="Suresh Khan"/>
    <x v="4"/>
    <s v="Consumer"/>
    <x v="7"/>
    <x v="0"/>
    <n v="3"/>
    <n v="12000"/>
    <n v="10"/>
    <s v="Debit Card"/>
    <x v="140"/>
    <x v="1"/>
  </r>
  <r>
    <n v="5399"/>
    <d v="2025-06-02T00:00:00"/>
    <n v="1022"/>
    <s v="Suresh Khan"/>
    <x v="4"/>
    <s v="Consumer"/>
    <x v="1"/>
    <x v="0"/>
    <n v="2"/>
    <n v="2500"/>
    <n v="15"/>
    <s v="UPI"/>
    <x v="141"/>
    <x v="5"/>
  </r>
  <r>
    <n v="5531"/>
    <d v="2025-07-18T00:00:00"/>
    <n v="1022"/>
    <s v="Suresh Khan"/>
    <x v="4"/>
    <s v="Consumer"/>
    <x v="8"/>
    <x v="1"/>
    <n v="2"/>
    <n v="200"/>
    <n v="15"/>
    <s v="UPI"/>
    <x v="142"/>
    <x v="2"/>
  </r>
  <r>
    <n v="5625"/>
    <d v="2025-08-22T00:00:00"/>
    <n v="1022"/>
    <s v="Suresh Khan"/>
    <x v="1"/>
    <s v="Consumer"/>
    <x v="3"/>
    <x v="1"/>
    <n v="2"/>
    <n v="350"/>
    <n v="5"/>
    <s v="UPI"/>
    <x v="4"/>
    <x v="6"/>
  </r>
  <r>
    <n v="5627"/>
    <d v="2025-08-23T00:00:00"/>
    <n v="1022"/>
    <s v="Suresh Khan"/>
    <x v="4"/>
    <s v="Consumer"/>
    <x v="8"/>
    <x v="1"/>
    <n v="2"/>
    <n v="200"/>
    <n v="0"/>
    <s v="Net Banking"/>
    <x v="24"/>
    <x v="6"/>
  </r>
  <r>
    <n v="5272"/>
    <d v="2025-04-12T00:00:00"/>
    <n v="1022"/>
    <s v="Suresh Khan"/>
    <x v="4"/>
    <s v="Consumer"/>
    <x v="4"/>
    <x v="2"/>
    <n v="1"/>
    <n v="16000"/>
    <n v="0"/>
    <s v="Net Banking"/>
    <x v="143"/>
    <x v="0"/>
  </r>
  <r>
    <n v="5473"/>
    <d v="2025-07-02T00:00:00"/>
    <n v="1022"/>
    <s v="Suresh Khan"/>
    <x v="4"/>
    <s v="Consumer"/>
    <x v="6"/>
    <x v="2"/>
    <n v="1"/>
    <n v="900"/>
    <n v="0"/>
    <s v="Debit Card"/>
    <x v="44"/>
    <x v="2"/>
  </r>
  <r>
    <n v="5418"/>
    <d v="2025-06-09T00:00:00"/>
    <n v="1023"/>
    <s v="Diya Rao"/>
    <x v="1"/>
    <s v="Consumer"/>
    <x v="2"/>
    <x v="0"/>
    <n v="5"/>
    <n v="55000"/>
    <n v="0"/>
    <s v="Cash"/>
    <x v="144"/>
    <x v="5"/>
  </r>
  <r>
    <n v="5557"/>
    <d v="2025-07-28T00:00:00"/>
    <n v="1023"/>
    <s v="Diya Rao"/>
    <x v="0"/>
    <s v="Consumer"/>
    <x v="5"/>
    <x v="0"/>
    <n v="5"/>
    <n v="22000"/>
    <n v="0"/>
    <s v="UPI"/>
    <x v="49"/>
    <x v="2"/>
  </r>
  <r>
    <n v="5637"/>
    <d v="2025-08-26T00:00:00"/>
    <n v="1023"/>
    <s v="Diya Rao"/>
    <x v="0"/>
    <s v="Consumer"/>
    <x v="0"/>
    <x v="0"/>
    <n v="5"/>
    <n v="6000"/>
    <n v="5"/>
    <s v="UPI"/>
    <x v="50"/>
    <x v="6"/>
  </r>
  <r>
    <n v="5472"/>
    <d v="2025-06-30T00:00:00"/>
    <n v="1023"/>
    <s v="Diya Rao"/>
    <x v="0"/>
    <s v="Consumer"/>
    <x v="3"/>
    <x v="1"/>
    <n v="4"/>
    <n v="350"/>
    <n v="0"/>
    <s v="UPI"/>
    <x v="28"/>
    <x v="5"/>
  </r>
  <r>
    <n v="5564"/>
    <d v="2025-08-01T00:00:00"/>
    <n v="1023"/>
    <s v="Diya Rao"/>
    <x v="0"/>
    <s v="Consumer"/>
    <x v="7"/>
    <x v="0"/>
    <n v="4"/>
    <n v="12000"/>
    <n v="5"/>
    <s v="Debit Card"/>
    <x v="29"/>
    <x v="6"/>
  </r>
  <r>
    <n v="5448"/>
    <d v="2025-06-20T00:00:00"/>
    <n v="1023"/>
    <s v="Diya Rao"/>
    <x v="0"/>
    <s v="Consumer"/>
    <x v="10"/>
    <x v="0"/>
    <n v="2"/>
    <n v="18000"/>
    <n v="0"/>
    <s v="UPI"/>
    <x v="72"/>
    <x v="5"/>
  </r>
  <r>
    <n v="5667"/>
    <d v="2025-09-08T00:00:00"/>
    <n v="1023"/>
    <s v="Diya Rao"/>
    <x v="0"/>
    <s v="Consumer"/>
    <x v="6"/>
    <x v="2"/>
    <n v="2"/>
    <n v="900"/>
    <n v="5"/>
    <s v="Credit Card"/>
    <x v="145"/>
    <x v="7"/>
  </r>
  <r>
    <n v="5979"/>
    <d v="2025-12-24T00:00:00"/>
    <n v="1023"/>
    <s v="Diya Rao"/>
    <x v="0"/>
    <s v="Consumer"/>
    <x v="5"/>
    <x v="0"/>
    <n v="2"/>
    <n v="22000"/>
    <n v="5"/>
    <s v="UPI"/>
    <x v="146"/>
    <x v="1"/>
  </r>
  <r>
    <n v="5645"/>
    <d v="2025-08-29T00:00:00"/>
    <n v="1023"/>
    <s v="Diya Rao"/>
    <x v="0"/>
    <s v="Consumer"/>
    <x v="7"/>
    <x v="0"/>
    <n v="1"/>
    <n v="12000"/>
    <n v="0"/>
    <s v="Net Banking"/>
    <x v="25"/>
    <x v="6"/>
  </r>
  <r>
    <n v="5168"/>
    <d v="2025-02-26T00:00:00"/>
    <n v="1024"/>
    <s v="Arjun Rao"/>
    <x v="0"/>
    <s v="Corporate"/>
    <x v="2"/>
    <x v="0"/>
    <n v="5"/>
    <n v="55000"/>
    <n v="5"/>
    <s v="Debit Card"/>
    <x v="57"/>
    <x v="3"/>
  </r>
  <r>
    <n v="5366"/>
    <d v="2025-05-20T00:00:00"/>
    <n v="1024"/>
    <s v="Arjun Rao"/>
    <x v="0"/>
    <s v="Corporate"/>
    <x v="1"/>
    <x v="0"/>
    <n v="5"/>
    <n v="2500"/>
    <n v="5"/>
    <s v="Debit Card"/>
    <x v="36"/>
    <x v="8"/>
  </r>
  <r>
    <n v="5394"/>
    <d v="2025-06-02T00:00:00"/>
    <n v="1024"/>
    <s v="Arjun Rao"/>
    <x v="0"/>
    <s v="Corporate"/>
    <x v="10"/>
    <x v="0"/>
    <n v="5"/>
    <n v="18000"/>
    <n v="0"/>
    <s v="Cash"/>
    <x v="100"/>
    <x v="5"/>
  </r>
  <r>
    <n v="5454"/>
    <d v="2025-06-23T00:00:00"/>
    <n v="1024"/>
    <s v="Arjun Rao"/>
    <x v="0"/>
    <s v="Corporate"/>
    <x v="6"/>
    <x v="2"/>
    <n v="5"/>
    <n v="900"/>
    <n v="10"/>
    <s v="UPI"/>
    <x v="147"/>
    <x v="5"/>
  </r>
  <r>
    <n v="5461"/>
    <d v="2025-06-25T00:00:00"/>
    <n v="1024"/>
    <s v="Arjun Rao"/>
    <x v="0"/>
    <s v="Corporate"/>
    <x v="1"/>
    <x v="0"/>
    <n v="5"/>
    <n v="2500"/>
    <n v="0"/>
    <s v="Credit Card"/>
    <x v="16"/>
    <x v="5"/>
  </r>
  <r>
    <n v="5474"/>
    <d v="2025-07-02T00:00:00"/>
    <n v="1024"/>
    <s v="Arjun Rao"/>
    <x v="0"/>
    <s v="Corporate"/>
    <x v="5"/>
    <x v="0"/>
    <n v="5"/>
    <n v="22000"/>
    <n v="0"/>
    <s v="Net Banking"/>
    <x v="49"/>
    <x v="2"/>
  </r>
  <r>
    <n v="5621"/>
    <d v="2025-08-21T00:00:00"/>
    <n v="1024"/>
    <s v="Arjun Rao"/>
    <x v="0"/>
    <s v="Corporate"/>
    <x v="3"/>
    <x v="1"/>
    <n v="5"/>
    <n v="350"/>
    <n v="15"/>
    <s v="Credit Card"/>
    <x v="148"/>
    <x v="6"/>
  </r>
  <r>
    <n v="5991"/>
    <d v="2025-12-28T00:00:00"/>
    <n v="1024"/>
    <s v="Arjun Rao"/>
    <x v="0"/>
    <s v="Corporate"/>
    <x v="7"/>
    <x v="0"/>
    <n v="5"/>
    <n v="12000"/>
    <n v="0"/>
    <s v="Debit Card"/>
    <x v="35"/>
    <x v="1"/>
  </r>
  <r>
    <n v="5329"/>
    <d v="2025-04-30T00:00:00"/>
    <n v="1024"/>
    <s v="Arjun Rao"/>
    <x v="0"/>
    <s v="Corporate"/>
    <x v="4"/>
    <x v="2"/>
    <n v="4"/>
    <n v="16000"/>
    <n v="5"/>
    <s v="Cash"/>
    <x v="84"/>
    <x v="0"/>
  </r>
  <r>
    <n v="5703"/>
    <d v="2025-09-23T00:00:00"/>
    <n v="1024"/>
    <s v="Arjun Rao"/>
    <x v="0"/>
    <s v="Corporate"/>
    <x v="3"/>
    <x v="1"/>
    <n v="4"/>
    <n v="350"/>
    <n v="0"/>
    <s v="Credit Card"/>
    <x v="28"/>
    <x v="7"/>
  </r>
  <r>
    <n v="5052"/>
    <d v="2025-01-18T00:00:00"/>
    <n v="1024"/>
    <s v="Arjun Rao"/>
    <x v="0"/>
    <s v="Corporate"/>
    <x v="3"/>
    <x v="1"/>
    <n v="3"/>
    <n v="350"/>
    <n v="0"/>
    <s v="Net Banking"/>
    <x v="22"/>
    <x v="9"/>
  </r>
  <r>
    <n v="5085"/>
    <d v="2025-02-01T00:00:00"/>
    <n v="1024"/>
    <s v="Arjun Rao"/>
    <x v="0"/>
    <s v="Corporate"/>
    <x v="1"/>
    <x v="0"/>
    <n v="2"/>
    <n v="2500"/>
    <n v="0"/>
    <s v="Cash"/>
    <x v="7"/>
    <x v="3"/>
  </r>
  <r>
    <n v="5178"/>
    <d v="2025-03-02T00:00:00"/>
    <n v="1024"/>
    <s v="Arjun Rao"/>
    <x v="0"/>
    <s v="Corporate"/>
    <x v="3"/>
    <x v="1"/>
    <n v="2"/>
    <n v="350"/>
    <n v="0"/>
    <s v="Cash"/>
    <x v="6"/>
    <x v="4"/>
  </r>
  <r>
    <n v="5581"/>
    <d v="2025-08-07T00:00:00"/>
    <n v="1024"/>
    <s v="Arjun Rao"/>
    <x v="0"/>
    <s v="Corporate"/>
    <x v="7"/>
    <x v="0"/>
    <n v="2"/>
    <n v="12000"/>
    <n v="0"/>
    <s v="Credit Card"/>
    <x v="1"/>
    <x v="6"/>
  </r>
  <r>
    <n v="5759"/>
    <d v="2025-10-11T00:00:00"/>
    <n v="1024"/>
    <s v="Arjun Rao"/>
    <x v="0"/>
    <s v="Corporate"/>
    <x v="6"/>
    <x v="2"/>
    <n v="2"/>
    <n v="900"/>
    <n v="0"/>
    <s v="Cash"/>
    <x v="62"/>
    <x v="11"/>
  </r>
  <r>
    <n v="5916"/>
    <d v="2025-12-05T00:00:00"/>
    <n v="1024"/>
    <s v="Arjun Rao"/>
    <x v="0"/>
    <s v="Corporate"/>
    <x v="7"/>
    <x v="0"/>
    <n v="2"/>
    <n v="12000"/>
    <n v="10"/>
    <s v="Cash"/>
    <x v="78"/>
    <x v="1"/>
  </r>
  <r>
    <n v="5020"/>
    <d v="2025-01-06T00:00:00"/>
    <n v="1024"/>
    <s v="Arjun Rao"/>
    <x v="0"/>
    <s v="Corporate"/>
    <x v="5"/>
    <x v="0"/>
    <n v="1"/>
    <n v="22000"/>
    <n v="0"/>
    <s v="UPI"/>
    <x v="10"/>
    <x v="9"/>
  </r>
  <r>
    <n v="5293"/>
    <d v="2025-04-19T00:00:00"/>
    <n v="1024"/>
    <s v="Arjun Rao"/>
    <x v="0"/>
    <s v="Corporate"/>
    <x v="10"/>
    <x v="0"/>
    <n v="1"/>
    <n v="18000"/>
    <n v="10"/>
    <s v="Debit Card"/>
    <x v="51"/>
    <x v="0"/>
  </r>
  <r>
    <n v="5712"/>
    <d v="2025-09-26T00:00:00"/>
    <n v="1024"/>
    <s v="Arjun Rao"/>
    <x v="0"/>
    <s v="Corporate"/>
    <x v="7"/>
    <x v="0"/>
    <n v="1"/>
    <n v="12000"/>
    <n v="0"/>
    <s v="UPI"/>
    <x v="25"/>
    <x v="7"/>
  </r>
  <r>
    <n v="5834"/>
    <d v="2025-11-04T00:00:00"/>
    <n v="1024"/>
    <s v="Arjun Rao"/>
    <x v="0"/>
    <s v="Corporate"/>
    <x v="1"/>
    <x v="0"/>
    <n v="1"/>
    <n v="2500"/>
    <n v="5"/>
    <s v="Credit Card"/>
    <x v="115"/>
    <x v="10"/>
  </r>
  <r>
    <n v="5009"/>
    <d v="2025-01-03T00:00:00"/>
    <n v="1025"/>
    <s v="Neha Das"/>
    <x v="3"/>
    <s v="Consumer"/>
    <x v="9"/>
    <x v="2"/>
    <n v="5"/>
    <n v="7500"/>
    <n v="0"/>
    <s v="Cash"/>
    <x v="27"/>
    <x v="9"/>
  </r>
  <r>
    <n v="5462"/>
    <d v="2025-06-26T00:00:00"/>
    <n v="1025"/>
    <s v="Neha Das"/>
    <x v="3"/>
    <s v="Consumer"/>
    <x v="6"/>
    <x v="2"/>
    <n v="5"/>
    <n v="900"/>
    <n v="0"/>
    <s v="Cash"/>
    <x v="82"/>
    <x v="5"/>
  </r>
  <r>
    <n v="5535"/>
    <d v="2025-07-19T00:00:00"/>
    <n v="1025"/>
    <s v="Neha Das"/>
    <x v="3"/>
    <s v="Consumer"/>
    <x v="5"/>
    <x v="0"/>
    <n v="5"/>
    <n v="22000"/>
    <n v="0"/>
    <s v="Net Banking"/>
    <x v="49"/>
    <x v="2"/>
  </r>
  <r>
    <n v="5547"/>
    <d v="2025-07-22T00:00:00"/>
    <n v="1025"/>
    <s v="Neha Das"/>
    <x v="3"/>
    <s v="Consumer"/>
    <x v="10"/>
    <x v="0"/>
    <n v="5"/>
    <n v="18000"/>
    <n v="5"/>
    <s v="Credit Card"/>
    <x v="149"/>
    <x v="2"/>
  </r>
  <r>
    <n v="5840"/>
    <d v="2025-11-05T00:00:00"/>
    <n v="1025"/>
    <s v="Neha Das"/>
    <x v="3"/>
    <s v="Consumer"/>
    <x v="10"/>
    <x v="0"/>
    <n v="5"/>
    <n v="18000"/>
    <n v="0"/>
    <s v="UPI"/>
    <x v="100"/>
    <x v="10"/>
  </r>
  <r>
    <n v="5892"/>
    <d v="2025-11-28T00:00:00"/>
    <n v="1025"/>
    <s v="Neha Das"/>
    <x v="3"/>
    <s v="Consumer"/>
    <x v="6"/>
    <x v="2"/>
    <n v="5"/>
    <n v="900"/>
    <n v="0"/>
    <s v="Credit Card"/>
    <x v="82"/>
    <x v="10"/>
  </r>
  <r>
    <n v="5002"/>
    <d v="2025-01-02T00:00:00"/>
    <n v="1025"/>
    <s v="Neha Das"/>
    <x v="3"/>
    <s v="Consumer"/>
    <x v="11"/>
    <x v="0"/>
    <n v="4"/>
    <n v="9500"/>
    <n v="0"/>
    <s v="Credit Card"/>
    <x v="59"/>
    <x v="9"/>
  </r>
  <r>
    <n v="5284"/>
    <d v="2025-04-16T00:00:00"/>
    <n v="1025"/>
    <s v="Neha Das"/>
    <x v="3"/>
    <s v="Consumer"/>
    <x v="10"/>
    <x v="0"/>
    <n v="4"/>
    <n v="18000"/>
    <n v="10"/>
    <s v="Credit Card"/>
    <x v="150"/>
    <x v="0"/>
  </r>
  <r>
    <n v="5760"/>
    <d v="2025-10-11T00:00:00"/>
    <n v="1025"/>
    <s v="Neha Das"/>
    <x v="3"/>
    <s v="Consumer"/>
    <x v="7"/>
    <x v="0"/>
    <n v="4"/>
    <n v="12000"/>
    <n v="0"/>
    <s v="Net Banking"/>
    <x v="67"/>
    <x v="11"/>
  </r>
  <r>
    <n v="5040"/>
    <d v="2025-01-14T00:00:00"/>
    <n v="1025"/>
    <s v="Neha Das"/>
    <x v="3"/>
    <s v="Consumer"/>
    <x v="8"/>
    <x v="1"/>
    <n v="3"/>
    <n v="200"/>
    <n v="0"/>
    <s v="Debit Card"/>
    <x v="42"/>
    <x v="9"/>
  </r>
  <r>
    <n v="5180"/>
    <d v="2025-03-02T00:00:00"/>
    <n v="1025"/>
    <s v="Neha Das"/>
    <x v="3"/>
    <s v="Consumer"/>
    <x v="10"/>
    <x v="0"/>
    <n v="3"/>
    <n v="18000"/>
    <n v="5"/>
    <s v="Debit Card"/>
    <x v="87"/>
    <x v="4"/>
  </r>
  <r>
    <n v="5185"/>
    <d v="2025-03-04T00:00:00"/>
    <n v="1025"/>
    <s v="Neha Das"/>
    <x v="3"/>
    <s v="Consumer"/>
    <x v="7"/>
    <x v="0"/>
    <n v="3"/>
    <n v="12000"/>
    <n v="5"/>
    <s v="UPI"/>
    <x v="89"/>
    <x v="4"/>
  </r>
  <r>
    <n v="5419"/>
    <d v="2025-06-10T00:00:00"/>
    <n v="1025"/>
    <s v="Neha Das"/>
    <x v="3"/>
    <s v="Consumer"/>
    <x v="4"/>
    <x v="2"/>
    <n v="3"/>
    <n v="16000"/>
    <n v="5"/>
    <s v="Debit Card"/>
    <x v="29"/>
    <x v="5"/>
  </r>
  <r>
    <n v="5566"/>
    <d v="2025-08-03T00:00:00"/>
    <n v="1025"/>
    <s v="Neha Das"/>
    <x v="3"/>
    <s v="Consumer"/>
    <x v="6"/>
    <x v="2"/>
    <n v="3"/>
    <n v="900"/>
    <n v="5"/>
    <s v="Debit Card"/>
    <x v="127"/>
    <x v="6"/>
  </r>
  <r>
    <n v="5925"/>
    <d v="2025-12-07T00:00:00"/>
    <n v="1025"/>
    <s v="Neha Das"/>
    <x v="3"/>
    <s v="Consumer"/>
    <x v="0"/>
    <x v="0"/>
    <n v="3"/>
    <n v="6000"/>
    <n v="0"/>
    <s v="Net Banking"/>
    <x v="61"/>
    <x v="1"/>
  </r>
  <r>
    <n v="5195"/>
    <d v="2025-03-07T00:00:00"/>
    <n v="1025"/>
    <s v="Neha Das"/>
    <x v="3"/>
    <s v="Consumer"/>
    <x v="7"/>
    <x v="0"/>
    <n v="2"/>
    <n v="12000"/>
    <n v="0"/>
    <s v="Net Banking"/>
    <x v="1"/>
    <x v="4"/>
  </r>
  <r>
    <n v="5388"/>
    <d v="2025-05-31T00:00:00"/>
    <n v="1025"/>
    <s v="Neha Das"/>
    <x v="3"/>
    <s v="Consumer"/>
    <x v="8"/>
    <x v="1"/>
    <n v="2"/>
    <n v="200"/>
    <n v="0"/>
    <s v="Cash"/>
    <x v="24"/>
    <x v="8"/>
  </r>
  <r>
    <n v="5776"/>
    <d v="2025-10-17T00:00:00"/>
    <n v="1025"/>
    <s v="Neha Das"/>
    <x v="3"/>
    <s v="Consumer"/>
    <x v="2"/>
    <x v="0"/>
    <n v="2"/>
    <n v="55000"/>
    <n v="0"/>
    <s v="Net Banking"/>
    <x v="49"/>
    <x v="11"/>
  </r>
  <r>
    <n v="5863"/>
    <d v="2025-11-13T00:00:00"/>
    <n v="1025"/>
    <s v="Neha Das"/>
    <x v="3"/>
    <s v="Consumer"/>
    <x v="10"/>
    <x v="0"/>
    <n v="2"/>
    <n v="18000"/>
    <n v="15"/>
    <s v="Credit Card"/>
    <x v="112"/>
    <x v="10"/>
  </r>
  <r>
    <n v="5990"/>
    <d v="2025-12-28T00:00:00"/>
    <n v="1025"/>
    <s v="Neha Das"/>
    <x v="3"/>
    <s v="Consumer"/>
    <x v="11"/>
    <x v="0"/>
    <n v="2"/>
    <n v="9500"/>
    <n v="0"/>
    <s v="Debit Card"/>
    <x v="122"/>
    <x v="1"/>
  </r>
  <r>
    <n v="5335"/>
    <d v="2025-05-03T00:00:00"/>
    <n v="1025"/>
    <s v="Neha Das"/>
    <x v="3"/>
    <s v="Consumer"/>
    <x v="3"/>
    <x v="1"/>
    <n v="1"/>
    <n v="350"/>
    <n v="0"/>
    <s v="UPI"/>
    <x v="93"/>
    <x v="8"/>
  </r>
  <r>
    <n v="5575"/>
    <d v="2025-08-05T00:00:00"/>
    <n v="1025"/>
    <s v="Neha Das"/>
    <x v="3"/>
    <s v="Consumer"/>
    <x v="4"/>
    <x v="2"/>
    <n v="1"/>
    <n v="16000"/>
    <n v="0"/>
    <s v="Credit Card"/>
    <x v="143"/>
    <x v="6"/>
  </r>
  <r>
    <n v="5656"/>
    <d v="2025-09-02T00:00:00"/>
    <n v="1025"/>
    <s v="Neha Das"/>
    <x v="3"/>
    <s v="Consumer"/>
    <x v="8"/>
    <x v="1"/>
    <n v="1"/>
    <n v="200"/>
    <n v="0"/>
    <s v="UPI"/>
    <x v="75"/>
    <x v="7"/>
  </r>
  <r>
    <n v="5717"/>
    <d v="2025-09-26T00:00:00"/>
    <n v="1025"/>
    <s v="Neha Das"/>
    <x v="3"/>
    <s v="Consumer"/>
    <x v="7"/>
    <x v="0"/>
    <n v="1"/>
    <n v="12000"/>
    <n v="5"/>
    <s v="Debit Card"/>
    <x v="129"/>
    <x v="7"/>
  </r>
  <r>
    <n v="5773"/>
    <d v="2025-10-15T00:00:00"/>
    <n v="1025"/>
    <s v="Neha Das"/>
    <x v="3"/>
    <s v="Consumer"/>
    <x v="4"/>
    <x v="2"/>
    <n v="1"/>
    <n v="16000"/>
    <n v="5"/>
    <s v="Cash"/>
    <x v="104"/>
    <x v="11"/>
  </r>
  <r>
    <n v="5033"/>
    <d v="2025-01-11T00:00:00"/>
    <n v="1026"/>
    <s v="Kavya Reddy"/>
    <x v="3"/>
    <s v="Small Business"/>
    <x v="5"/>
    <x v="0"/>
    <n v="5"/>
    <n v="22000"/>
    <n v="0"/>
    <s v="Credit Card"/>
    <x v="49"/>
    <x v="9"/>
  </r>
  <r>
    <n v="5074"/>
    <d v="2025-01-28T00:00:00"/>
    <n v="1026"/>
    <s v="Kavya Reddy"/>
    <x v="3"/>
    <s v="Small Business"/>
    <x v="8"/>
    <x v="1"/>
    <n v="5"/>
    <n v="200"/>
    <n v="0"/>
    <s v="Credit Card"/>
    <x v="15"/>
    <x v="9"/>
  </r>
  <r>
    <n v="5387"/>
    <d v="2025-05-31T00:00:00"/>
    <n v="1026"/>
    <s v="Kavya Reddy"/>
    <x v="3"/>
    <s v="Small Business"/>
    <x v="6"/>
    <x v="2"/>
    <n v="5"/>
    <n v="900"/>
    <n v="5"/>
    <s v="UPI"/>
    <x v="151"/>
    <x v="8"/>
  </r>
  <r>
    <n v="5770"/>
    <d v="2025-10-14T00:00:00"/>
    <n v="1026"/>
    <s v="Kavya Reddy"/>
    <x v="3"/>
    <s v="Small Business"/>
    <x v="7"/>
    <x v="0"/>
    <n v="5"/>
    <n v="12000"/>
    <n v="10"/>
    <s v="UPI"/>
    <x v="45"/>
    <x v="11"/>
  </r>
  <r>
    <n v="5924"/>
    <d v="2025-12-07T00:00:00"/>
    <n v="1026"/>
    <s v="Kavya Reddy"/>
    <x v="3"/>
    <s v="Small Business"/>
    <x v="11"/>
    <x v="0"/>
    <n v="5"/>
    <n v="9500"/>
    <n v="0"/>
    <s v="Net Banking"/>
    <x v="107"/>
    <x v="1"/>
  </r>
  <r>
    <n v="5137"/>
    <d v="2025-02-17T00:00:00"/>
    <n v="1026"/>
    <s v="Kavya Reddy"/>
    <x v="3"/>
    <s v="Small Business"/>
    <x v="0"/>
    <x v="0"/>
    <n v="4"/>
    <n v="6000"/>
    <n v="5"/>
    <s v="Net Banking"/>
    <x v="58"/>
    <x v="3"/>
  </r>
  <r>
    <n v="5196"/>
    <d v="2025-03-08T00:00:00"/>
    <n v="1026"/>
    <s v="Kavya Reddy"/>
    <x v="3"/>
    <s v="Small Business"/>
    <x v="3"/>
    <x v="1"/>
    <n v="4"/>
    <n v="350"/>
    <n v="5"/>
    <s v="Net Banking"/>
    <x v="37"/>
    <x v="4"/>
  </r>
  <r>
    <n v="5541"/>
    <d v="2025-07-21T00:00:00"/>
    <n v="1026"/>
    <s v="Kavya Reddy"/>
    <x v="3"/>
    <s v="Small Business"/>
    <x v="6"/>
    <x v="2"/>
    <n v="4"/>
    <n v="900"/>
    <n v="0"/>
    <s v="Debit Card"/>
    <x v="85"/>
    <x v="2"/>
  </r>
  <r>
    <n v="5144"/>
    <d v="2025-02-19T00:00:00"/>
    <n v="1026"/>
    <s v="Kavya Reddy"/>
    <x v="3"/>
    <s v="Small Business"/>
    <x v="1"/>
    <x v="0"/>
    <n v="3"/>
    <n v="2500"/>
    <n v="15"/>
    <s v="Debit Card"/>
    <x v="132"/>
    <x v="3"/>
  </r>
  <r>
    <n v="5378"/>
    <d v="2025-05-26T00:00:00"/>
    <n v="1026"/>
    <s v="Kavya Reddy"/>
    <x v="3"/>
    <s v="Small Business"/>
    <x v="4"/>
    <x v="2"/>
    <n v="3"/>
    <n v="16000"/>
    <n v="10"/>
    <s v="Cash"/>
    <x v="121"/>
    <x v="8"/>
  </r>
  <r>
    <n v="5950"/>
    <d v="2025-12-16T00:00:00"/>
    <n v="1026"/>
    <s v="Kavya Reddy"/>
    <x v="3"/>
    <s v="Small Business"/>
    <x v="1"/>
    <x v="0"/>
    <n v="3"/>
    <n v="2500"/>
    <n v="0"/>
    <s v="Net Banking"/>
    <x v="2"/>
    <x v="1"/>
  </r>
  <r>
    <n v="5441"/>
    <d v="2025-06-18T00:00:00"/>
    <n v="1026"/>
    <s v="Kavya Reddy"/>
    <x v="3"/>
    <s v="Small Business"/>
    <x v="1"/>
    <x v="0"/>
    <n v="2"/>
    <n v="2500"/>
    <n v="10"/>
    <s v="UPI"/>
    <x v="82"/>
    <x v="5"/>
  </r>
  <r>
    <n v="5976"/>
    <d v="2025-12-22T00:00:00"/>
    <n v="1026"/>
    <s v="Kavya Reddy"/>
    <x v="3"/>
    <s v="Small Business"/>
    <x v="0"/>
    <x v="0"/>
    <n v="2"/>
    <n v="6000"/>
    <n v="5"/>
    <s v="Net Banking"/>
    <x v="129"/>
    <x v="1"/>
  </r>
  <r>
    <n v="5019"/>
    <d v="2025-01-06T00:00:00"/>
    <n v="1027"/>
    <s v="Anjali Patel"/>
    <x v="4"/>
    <s v="Corporate"/>
    <x v="6"/>
    <x v="2"/>
    <n v="5"/>
    <n v="900"/>
    <n v="5"/>
    <s v="Debit Card"/>
    <x v="151"/>
    <x v="9"/>
  </r>
  <r>
    <n v="5343"/>
    <d v="2025-05-11T00:00:00"/>
    <n v="1027"/>
    <s v="Anjali Patel"/>
    <x v="4"/>
    <s v="Corporate"/>
    <x v="8"/>
    <x v="1"/>
    <n v="5"/>
    <n v="200"/>
    <n v="0"/>
    <s v="Debit Card"/>
    <x v="15"/>
    <x v="8"/>
  </r>
  <r>
    <n v="5857"/>
    <d v="2025-11-10T00:00:00"/>
    <n v="1027"/>
    <s v="Anjali Patel"/>
    <x v="4"/>
    <s v="Corporate"/>
    <x v="4"/>
    <x v="2"/>
    <n v="5"/>
    <n v="16000"/>
    <n v="0"/>
    <s v="UPI"/>
    <x v="26"/>
    <x v="10"/>
  </r>
  <r>
    <n v="5624"/>
    <d v="2025-08-21T00:00:00"/>
    <n v="1027"/>
    <s v="Anjali Patel"/>
    <x v="4"/>
    <s v="Corporate"/>
    <x v="7"/>
    <x v="0"/>
    <n v="4"/>
    <n v="12000"/>
    <n v="5"/>
    <s v="UPI"/>
    <x v="29"/>
    <x v="6"/>
  </r>
  <r>
    <n v="5835"/>
    <d v="2025-11-04T00:00:00"/>
    <n v="1027"/>
    <s v="Anjali Patel"/>
    <x v="4"/>
    <s v="Corporate"/>
    <x v="3"/>
    <x v="1"/>
    <n v="4"/>
    <n v="350"/>
    <n v="5"/>
    <s v="Cash"/>
    <x v="37"/>
    <x v="10"/>
  </r>
  <r>
    <n v="5846"/>
    <d v="2025-11-07T00:00:00"/>
    <n v="1027"/>
    <s v="Anjali Patel"/>
    <x v="4"/>
    <s v="Corporate"/>
    <x v="8"/>
    <x v="1"/>
    <n v="4"/>
    <n v="200"/>
    <n v="10"/>
    <s v="Debit Card"/>
    <x v="152"/>
    <x v="10"/>
  </r>
  <r>
    <n v="5173"/>
    <d v="2025-02-26T00:00:00"/>
    <n v="1027"/>
    <s v="Anjali Patel"/>
    <x v="4"/>
    <s v="Corporate"/>
    <x v="2"/>
    <x v="0"/>
    <n v="3"/>
    <n v="55000"/>
    <n v="0"/>
    <s v="Credit Card"/>
    <x v="23"/>
    <x v="3"/>
  </r>
  <r>
    <n v="5590"/>
    <d v="2025-08-12T00:00:00"/>
    <n v="1027"/>
    <s v="Anjali Patel"/>
    <x v="4"/>
    <s v="Corporate"/>
    <x v="6"/>
    <x v="2"/>
    <n v="3"/>
    <n v="900"/>
    <n v="0"/>
    <s v="UPI"/>
    <x v="86"/>
    <x v="6"/>
  </r>
  <r>
    <n v="5692"/>
    <d v="2025-09-20T00:00:00"/>
    <n v="1027"/>
    <s v="Anjali Patel"/>
    <x v="4"/>
    <s v="Corporate"/>
    <x v="3"/>
    <x v="1"/>
    <n v="3"/>
    <n v="350"/>
    <n v="10"/>
    <s v="UPI"/>
    <x v="128"/>
    <x v="7"/>
  </r>
  <r>
    <n v="5707"/>
    <d v="2025-09-24T00:00:00"/>
    <n v="1027"/>
    <s v="Anjali Patel"/>
    <x v="4"/>
    <s v="Corporate"/>
    <x v="1"/>
    <x v="0"/>
    <n v="3"/>
    <n v="2500"/>
    <n v="5"/>
    <s v="Debit Card"/>
    <x v="74"/>
    <x v="7"/>
  </r>
  <r>
    <n v="5073"/>
    <d v="2025-01-27T00:00:00"/>
    <n v="1027"/>
    <s v="Anjali Patel"/>
    <x v="4"/>
    <s v="Corporate"/>
    <x v="7"/>
    <x v="0"/>
    <n v="2"/>
    <n v="12000"/>
    <n v="0"/>
    <s v="Debit Card"/>
    <x v="1"/>
    <x v="9"/>
  </r>
  <r>
    <n v="5740"/>
    <d v="2025-10-05T00:00:00"/>
    <n v="1027"/>
    <s v="Anjali Patel"/>
    <x v="4"/>
    <s v="Corporate"/>
    <x v="9"/>
    <x v="2"/>
    <n v="2"/>
    <n v="7500"/>
    <n v="0"/>
    <s v="Cash"/>
    <x v="106"/>
    <x v="11"/>
  </r>
  <r>
    <n v="5031"/>
    <d v="2025-01-10T00:00:00"/>
    <n v="1027"/>
    <s v="Anjali Patel"/>
    <x v="4"/>
    <s v="Corporate"/>
    <x v="8"/>
    <x v="1"/>
    <n v="1"/>
    <n v="200"/>
    <n v="10"/>
    <s v="Credit Card"/>
    <x v="66"/>
    <x v="9"/>
  </r>
  <r>
    <n v="5118"/>
    <d v="2025-02-12T00:00:00"/>
    <n v="1027"/>
    <s v="Anjali Patel"/>
    <x v="4"/>
    <s v="Corporate"/>
    <x v="7"/>
    <x v="0"/>
    <n v="1"/>
    <n v="12000"/>
    <n v="5"/>
    <s v="Debit Card"/>
    <x v="129"/>
    <x v="3"/>
  </r>
  <r>
    <n v="5429"/>
    <d v="2025-06-13T00:00:00"/>
    <n v="1027"/>
    <s v="Anjali Patel"/>
    <x v="4"/>
    <s v="Corporate"/>
    <x v="7"/>
    <x v="0"/>
    <n v="1"/>
    <n v="12000"/>
    <n v="5"/>
    <s v="Credit Card"/>
    <x v="129"/>
    <x v="5"/>
  </r>
  <r>
    <n v="5778"/>
    <d v="2025-10-18T00:00:00"/>
    <n v="1027"/>
    <s v="Anjali Patel"/>
    <x v="4"/>
    <s v="Corporate"/>
    <x v="8"/>
    <x v="1"/>
    <n v="1"/>
    <n v="200"/>
    <n v="10"/>
    <s v="Credit Card"/>
    <x v="66"/>
    <x v="11"/>
  </r>
  <r>
    <n v="5619"/>
    <d v="2025-08-20T00:00:00"/>
    <n v="1028"/>
    <s v="Pooja Sharma"/>
    <x v="4"/>
    <s v="Corporate"/>
    <x v="10"/>
    <x v="0"/>
    <n v="5"/>
    <n v="18000"/>
    <n v="15"/>
    <s v="UPI"/>
    <x v="153"/>
    <x v="6"/>
  </r>
  <r>
    <n v="5889"/>
    <d v="2025-11-26T00:00:00"/>
    <n v="1028"/>
    <s v="Pooja Sharma"/>
    <x v="4"/>
    <s v="Corporate"/>
    <x v="3"/>
    <x v="1"/>
    <n v="5"/>
    <n v="350"/>
    <n v="0"/>
    <s v="UPI"/>
    <x v="13"/>
    <x v="10"/>
  </r>
  <r>
    <n v="5943"/>
    <d v="2025-12-13T00:00:00"/>
    <n v="1028"/>
    <s v="Pooja Sharma"/>
    <x v="4"/>
    <s v="Corporate"/>
    <x v="3"/>
    <x v="1"/>
    <n v="5"/>
    <n v="350"/>
    <n v="10"/>
    <s v="Debit Card"/>
    <x v="96"/>
    <x v="1"/>
  </r>
  <r>
    <n v="5255"/>
    <d v="2025-04-03T00:00:00"/>
    <n v="1028"/>
    <s v="Pooja Sharma"/>
    <x v="4"/>
    <s v="Corporate"/>
    <x v="10"/>
    <x v="0"/>
    <n v="4"/>
    <n v="18000"/>
    <n v="0"/>
    <s v="Cash"/>
    <x v="46"/>
    <x v="0"/>
  </r>
  <r>
    <n v="5704"/>
    <d v="2025-09-24T00:00:00"/>
    <n v="1028"/>
    <s v="Pooja Sharma"/>
    <x v="4"/>
    <s v="Corporate"/>
    <x v="8"/>
    <x v="1"/>
    <n v="4"/>
    <n v="200"/>
    <n v="0"/>
    <s v="Credit Card"/>
    <x v="21"/>
    <x v="7"/>
  </r>
  <r>
    <n v="5720"/>
    <d v="2025-09-27T00:00:00"/>
    <n v="1028"/>
    <s v="Pooja Sharma"/>
    <x v="4"/>
    <s v="Corporate"/>
    <x v="6"/>
    <x v="2"/>
    <n v="4"/>
    <n v="900"/>
    <n v="0"/>
    <s v="Cash"/>
    <x v="85"/>
    <x v="7"/>
  </r>
  <r>
    <n v="5747"/>
    <d v="2025-10-07T00:00:00"/>
    <n v="1028"/>
    <s v="Pooja Sharma"/>
    <x v="4"/>
    <s v="Corporate"/>
    <x v="8"/>
    <x v="1"/>
    <n v="4"/>
    <n v="200"/>
    <n v="0"/>
    <s v="Debit Card"/>
    <x v="21"/>
    <x v="11"/>
  </r>
  <r>
    <n v="5917"/>
    <d v="2025-12-05T00:00:00"/>
    <n v="1028"/>
    <s v="Pooja Sharma"/>
    <x v="4"/>
    <s v="Corporate"/>
    <x v="3"/>
    <x v="1"/>
    <n v="4"/>
    <n v="350"/>
    <n v="10"/>
    <s v="Debit Card"/>
    <x v="110"/>
    <x v="1"/>
  </r>
  <r>
    <n v="5220"/>
    <d v="2025-03-23T00:00:00"/>
    <n v="1028"/>
    <s v="Pooja Sharma"/>
    <x v="4"/>
    <s v="Corporate"/>
    <x v="0"/>
    <x v="0"/>
    <n v="3"/>
    <n v="6000"/>
    <n v="0"/>
    <s v="UPI"/>
    <x v="61"/>
    <x v="4"/>
  </r>
  <r>
    <n v="5443"/>
    <d v="2025-06-18T00:00:00"/>
    <n v="1028"/>
    <s v="Pooja Sharma"/>
    <x v="4"/>
    <s v="Corporate"/>
    <x v="7"/>
    <x v="0"/>
    <n v="3"/>
    <n v="12000"/>
    <n v="0"/>
    <s v="Net Banking"/>
    <x v="72"/>
    <x v="5"/>
  </r>
  <r>
    <n v="5880"/>
    <d v="2025-11-22T00:00:00"/>
    <n v="1028"/>
    <s v="Pooja Sharma"/>
    <x v="1"/>
    <s v="Corporate"/>
    <x v="3"/>
    <x v="1"/>
    <n v="3"/>
    <n v="350"/>
    <n v="0"/>
    <s v="UPI"/>
    <x v="22"/>
    <x v="10"/>
  </r>
  <r>
    <n v="5905"/>
    <d v="2025-12-02T00:00:00"/>
    <n v="1028"/>
    <s v="Pooja Sharma"/>
    <x v="4"/>
    <s v="Corporate"/>
    <x v="1"/>
    <x v="0"/>
    <n v="3"/>
    <n v="2500"/>
    <n v="0"/>
    <s v="Debit Card"/>
    <x v="2"/>
    <x v="1"/>
  </r>
  <r>
    <n v="5974"/>
    <d v="2025-12-21T00:00:00"/>
    <n v="1028"/>
    <s v="Pooja Sharma"/>
    <x v="4"/>
    <s v="Corporate"/>
    <x v="1"/>
    <x v="0"/>
    <n v="3"/>
    <n v="2500"/>
    <n v="10"/>
    <s v="Debit Card"/>
    <x v="47"/>
    <x v="1"/>
  </r>
  <r>
    <n v="5266"/>
    <d v="2025-04-09T00:00:00"/>
    <n v="1028"/>
    <s v="Pooja Sharma"/>
    <x v="4"/>
    <s v="Corporate"/>
    <x v="6"/>
    <x v="2"/>
    <n v="2"/>
    <n v="900"/>
    <n v="0"/>
    <s v="Net Banking"/>
    <x v="62"/>
    <x v="0"/>
  </r>
  <r>
    <n v="5503"/>
    <d v="2025-07-09T00:00:00"/>
    <n v="1028"/>
    <s v="Pooja Sharma"/>
    <x v="4"/>
    <s v="Corporate"/>
    <x v="1"/>
    <x v="0"/>
    <n v="2"/>
    <n v="2500"/>
    <n v="0"/>
    <s v="Cash"/>
    <x v="7"/>
    <x v="2"/>
  </r>
  <r>
    <n v="5777"/>
    <d v="2025-10-17T00:00:00"/>
    <n v="1028"/>
    <s v="Pooja Sharma"/>
    <x v="4"/>
    <s v="Corporate"/>
    <x v="0"/>
    <x v="0"/>
    <n v="2"/>
    <n v="6000"/>
    <n v="0"/>
    <s v="Debit Card"/>
    <x v="25"/>
    <x v="11"/>
  </r>
  <r>
    <n v="5068"/>
    <d v="2025-01-25T00:00:00"/>
    <n v="1028"/>
    <s v="Pooja Sharma"/>
    <x v="4"/>
    <s v="Corporate"/>
    <x v="3"/>
    <x v="1"/>
    <n v="1"/>
    <n v="350"/>
    <n v="15"/>
    <s v="Debit Card"/>
    <x v="154"/>
    <x v="9"/>
  </r>
  <r>
    <n v="5158"/>
    <d v="2025-02-22T00:00:00"/>
    <n v="1028"/>
    <s v="Pooja Sharma"/>
    <x v="4"/>
    <s v="Corporate"/>
    <x v="8"/>
    <x v="1"/>
    <n v="1"/>
    <n v="200"/>
    <n v="5"/>
    <s v="Cash"/>
    <x v="64"/>
    <x v="3"/>
  </r>
  <r>
    <n v="5553"/>
    <d v="2025-07-26T00:00:00"/>
    <n v="1028"/>
    <s v="Pooja Sharma"/>
    <x v="4"/>
    <s v="Corporate"/>
    <x v="0"/>
    <x v="0"/>
    <n v="1"/>
    <n v="6000"/>
    <n v="15"/>
    <s v="Credit Card"/>
    <x v="155"/>
    <x v="2"/>
  </r>
  <r>
    <n v="5654"/>
    <d v="2025-09-02T00:00:00"/>
    <n v="1028"/>
    <s v="Pooja Sharma"/>
    <x v="4"/>
    <s v="Corporate"/>
    <x v="8"/>
    <x v="1"/>
    <n v="1"/>
    <n v="200"/>
    <n v="0"/>
    <s v="UPI"/>
    <x v="75"/>
    <x v="7"/>
  </r>
  <r>
    <n v="5131"/>
    <d v="2025-02-14T00:00:00"/>
    <n v="1029"/>
    <s v="Rahul Reddy"/>
    <x v="1"/>
    <s v="Consumer"/>
    <x v="0"/>
    <x v="0"/>
    <n v="5"/>
    <n v="6000"/>
    <n v="0"/>
    <s v="Net Banking"/>
    <x v="0"/>
    <x v="3"/>
  </r>
  <r>
    <n v="5508"/>
    <d v="2025-07-10T00:00:00"/>
    <n v="1029"/>
    <s v="Rahul Reddy"/>
    <x v="3"/>
    <s v="Consumer"/>
    <x v="11"/>
    <x v="0"/>
    <n v="5"/>
    <n v="9500"/>
    <n v="0"/>
    <s v="Debit Card"/>
    <x v="107"/>
    <x v="2"/>
  </r>
  <r>
    <n v="5412"/>
    <d v="2025-06-08T00:00:00"/>
    <n v="1029"/>
    <s v="Rahul Reddy"/>
    <x v="3"/>
    <s v="Consumer"/>
    <x v="3"/>
    <x v="1"/>
    <n v="4"/>
    <n v="350"/>
    <n v="0"/>
    <s v="Credit Card"/>
    <x v="28"/>
    <x v="5"/>
  </r>
  <r>
    <n v="5632"/>
    <d v="2025-08-26T00:00:00"/>
    <n v="1029"/>
    <s v="Rahul Reddy"/>
    <x v="3"/>
    <s v="Consumer"/>
    <x v="6"/>
    <x v="2"/>
    <n v="4"/>
    <n v="900"/>
    <n v="0"/>
    <s v="UPI"/>
    <x v="85"/>
    <x v="6"/>
  </r>
  <r>
    <n v="5208"/>
    <d v="2025-03-13T00:00:00"/>
    <n v="1029"/>
    <s v="Rahul Reddy"/>
    <x v="3"/>
    <s v="Consumer"/>
    <x v="4"/>
    <x v="2"/>
    <n v="3"/>
    <n v="16000"/>
    <n v="0"/>
    <s v="Cash"/>
    <x v="67"/>
    <x v="4"/>
  </r>
  <r>
    <n v="5241"/>
    <d v="2025-03-29T00:00:00"/>
    <n v="1029"/>
    <s v="Rahul Reddy"/>
    <x v="3"/>
    <s v="Consumer"/>
    <x v="7"/>
    <x v="0"/>
    <n v="3"/>
    <n v="12000"/>
    <n v="0"/>
    <s v="Cash"/>
    <x v="72"/>
    <x v="4"/>
  </r>
  <r>
    <n v="5878"/>
    <d v="2025-11-21T00:00:00"/>
    <n v="1029"/>
    <s v="Rahul Reddy"/>
    <x v="3"/>
    <s v="Consumer"/>
    <x v="0"/>
    <x v="0"/>
    <n v="3"/>
    <n v="6000"/>
    <n v="0"/>
    <s v="UPI"/>
    <x v="61"/>
    <x v="10"/>
  </r>
  <r>
    <n v="5199"/>
    <d v="2025-03-08T00:00:00"/>
    <n v="1029"/>
    <s v="Rahul Reddy"/>
    <x v="3"/>
    <s v="Consumer"/>
    <x v="9"/>
    <x v="2"/>
    <n v="2"/>
    <n v="7500"/>
    <n v="10"/>
    <s v="Debit Card"/>
    <x v="111"/>
    <x v="4"/>
  </r>
  <r>
    <n v="5217"/>
    <d v="2025-03-18T00:00:00"/>
    <n v="1029"/>
    <s v="Rahul Reddy"/>
    <x v="3"/>
    <s v="Consumer"/>
    <x v="1"/>
    <x v="0"/>
    <n v="2"/>
    <n v="2500"/>
    <n v="0"/>
    <s v="UPI"/>
    <x v="7"/>
    <x v="4"/>
  </r>
  <r>
    <n v="5489"/>
    <d v="2025-07-05T00:00:00"/>
    <n v="1029"/>
    <s v="Rahul Reddy"/>
    <x v="3"/>
    <s v="Consumer"/>
    <x v="1"/>
    <x v="0"/>
    <n v="2"/>
    <n v="2500"/>
    <n v="10"/>
    <s v="Net Banking"/>
    <x v="82"/>
    <x v="2"/>
  </r>
  <r>
    <n v="5495"/>
    <d v="2025-07-07T00:00:00"/>
    <n v="1029"/>
    <s v="Rahul Reddy"/>
    <x v="3"/>
    <s v="Consumer"/>
    <x v="10"/>
    <x v="0"/>
    <n v="2"/>
    <n v="18000"/>
    <n v="10"/>
    <s v="UPI"/>
    <x v="140"/>
    <x v="2"/>
  </r>
  <r>
    <n v="5499"/>
    <d v="2025-07-08T00:00:00"/>
    <n v="1029"/>
    <s v="Rahul Reddy"/>
    <x v="3"/>
    <s v="Consumer"/>
    <x v="7"/>
    <x v="0"/>
    <n v="2"/>
    <n v="12000"/>
    <n v="0"/>
    <s v="Debit Card"/>
    <x v="1"/>
    <x v="2"/>
  </r>
  <r>
    <n v="5668"/>
    <d v="2025-09-08T00:00:00"/>
    <n v="1029"/>
    <s v="Rahul Reddy"/>
    <x v="3"/>
    <s v="Consumer"/>
    <x v="4"/>
    <x v="2"/>
    <n v="2"/>
    <n v="16000"/>
    <n v="0"/>
    <s v="Credit Card"/>
    <x v="5"/>
    <x v="7"/>
  </r>
  <r>
    <n v="5120"/>
    <d v="2025-02-13T00:00:00"/>
    <n v="1029"/>
    <s v="Rahul Reddy"/>
    <x v="3"/>
    <s v="Consumer"/>
    <x v="4"/>
    <x v="2"/>
    <n v="1"/>
    <n v="16000"/>
    <n v="15"/>
    <s v="Cash"/>
    <x v="9"/>
    <x v="3"/>
  </r>
  <r>
    <n v="5397"/>
    <d v="2025-06-02T00:00:00"/>
    <n v="1029"/>
    <s v="Rahul Reddy"/>
    <x v="3"/>
    <s v="Consumer"/>
    <x v="1"/>
    <x v="0"/>
    <n v="1"/>
    <n v="2500"/>
    <n v="0"/>
    <s v="Debit Card"/>
    <x v="12"/>
    <x v="5"/>
  </r>
  <r>
    <n v="5468"/>
    <d v="2025-06-28T00:00:00"/>
    <n v="1029"/>
    <s v="Rahul Reddy"/>
    <x v="3"/>
    <s v="Consumer"/>
    <x v="3"/>
    <x v="1"/>
    <n v="1"/>
    <n v="350"/>
    <n v="5"/>
    <s v="Debit Card"/>
    <x v="94"/>
    <x v="5"/>
  </r>
  <r>
    <n v="5726"/>
    <d v="2025-09-29T00:00:00"/>
    <n v="1029"/>
    <s v="Rahul Reddy"/>
    <x v="3"/>
    <s v="Consumer"/>
    <x v="6"/>
    <x v="2"/>
    <n v="1"/>
    <n v="900"/>
    <n v="0"/>
    <s v="Net Banking"/>
    <x v="44"/>
    <x v="7"/>
  </r>
  <r>
    <n v="5056"/>
    <d v="2025-01-19T00:00:00"/>
    <n v="1030"/>
    <s v="Suresh Singh"/>
    <x v="4"/>
    <s v="Corporate"/>
    <x v="2"/>
    <x v="0"/>
    <n v="5"/>
    <n v="55000"/>
    <n v="0"/>
    <s v="Debit Card"/>
    <x v="144"/>
    <x v="9"/>
  </r>
  <r>
    <n v="5177"/>
    <d v="2025-03-01T00:00:00"/>
    <n v="1030"/>
    <s v="Suresh Singh"/>
    <x v="4"/>
    <s v="Corporate"/>
    <x v="0"/>
    <x v="0"/>
    <n v="5"/>
    <n v="6000"/>
    <n v="0"/>
    <s v="Net Banking"/>
    <x v="0"/>
    <x v="4"/>
  </r>
  <r>
    <n v="5711"/>
    <d v="2025-09-25T00:00:00"/>
    <n v="1030"/>
    <s v="Suresh Singh"/>
    <x v="4"/>
    <s v="Corporate"/>
    <x v="3"/>
    <x v="1"/>
    <n v="5"/>
    <n v="350"/>
    <n v="0"/>
    <s v="Debit Card"/>
    <x v="13"/>
    <x v="7"/>
  </r>
  <r>
    <n v="5856"/>
    <d v="2025-11-10T00:00:00"/>
    <n v="1030"/>
    <s v="Suresh Singh"/>
    <x v="4"/>
    <s v="Corporate"/>
    <x v="7"/>
    <x v="0"/>
    <n v="5"/>
    <n v="12000"/>
    <n v="5"/>
    <s v="Debit Card"/>
    <x v="14"/>
    <x v="10"/>
  </r>
  <r>
    <n v="5219"/>
    <d v="2025-03-21T00:00:00"/>
    <n v="1030"/>
    <s v="Suresh Singh"/>
    <x v="4"/>
    <s v="Corporate"/>
    <x v="10"/>
    <x v="0"/>
    <n v="4"/>
    <n v="18000"/>
    <n v="15"/>
    <s v="Credit Card"/>
    <x v="156"/>
    <x v="4"/>
  </r>
  <r>
    <n v="5998"/>
    <d v="2025-12-31T00:00:00"/>
    <n v="1030"/>
    <s v="Suresh Singh"/>
    <x v="4"/>
    <s v="Corporate"/>
    <x v="7"/>
    <x v="0"/>
    <n v="4"/>
    <n v="12000"/>
    <n v="0"/>
    <s v="Debit Card"/>
    <x v="67"/>
    <x v="1"/>
  </r>
  <r>
    <n v="5053"/>
    <d v="2025-01-18T00:00:00"/>
    <n v="1030"/>
    <s v="Suresh Singh"/>
    <x v="4"/>
    <s v="Corporate"/>
    <x v="6"/>
    <x v="2"/>
    <n v="3"/>
    <n v="900"/>
    <n v="0"/>
    <s v="Credit Card"/>
    <x v="86"/>
    <x v="9"/>
  </r>
  <r>
    <n v="5249"/>
    <d v="2025-03-31T00:00:00"/>
    <n v="1030"/>
    <s v="Suresh Singh"/>
    <x v="4"/>
    <s v="Corporate"/>
    <x v="3"/>
    <x v="1"/>
    <n v="3"/>
    <n v="350"/>
    <n v="5"/>
    <s v="Debit Card"/>
    <x v="31"/>
    <x v="4"/>
  </r>
  <r>
    <n v="5514"/>
    <d v="2025-07-13T00:00:00"/>
    <n v="1030"/>
    <s v="Suresh Singh"/>
    <x v="4"/>
    <s v="Corporate"/>
    <x v="1"/>
    <x v="0"/>
    <n v="3"/>
    <n v="2500"/>
    <n v="5"/>
    <s v="Net Banking"/>
    <x v="74"/>
    <x v="2"/>
  </r>
  <r>
    <n v="5618"/>
    <d v="2025-08-20T00:00:00"/>
    <n v="1030"/>
    <s v="Suresh Singh"/>
    <x v="4"/>
    <s v="Corporate"/>
    <x v="5"/>
    <x v="0"/>
    <n v="2"/>
    <n v="22000"/>
    <n v="10"/>
    <s v="UPI"/>
    <x v="97"/>
    <x v="6"/>
  </r>
  <r>
    <n v="5192"/>
    <d v="2025-03-06T00:00:00"/>
    <n v="1030"/>
    <s v="Suresh Singh"/>
    <x v="4"/>
    <s v="Corporate"/>
    <x v="6"/>
    <x v="2"/>
    <n v="1"/>
    <n v="900"/>
    <n v="0"/>
    <s v="Cash"/>
    <x v="44"/>
    <x v="4"/>
  </r>
  <r>
    <n v="5160"/>
    <d v="2025-02-23T00:00:00"/>
    <n v="1031"/>
    <s v="Nikhil Singh"/>
    <x v="3"/>
    <s v="Corporate"/>
    <x v="7"/>
    <x v="0"/>
    <n v="4"/>
    <n v="12000"/>
    <n v="0"/>
    <s v="Cash"/>
    <x v="67"/>
    <x v="3"/>
  </r>
  <r>
    <n v="5766"/>
    <d v="2025-10-13T00:00:00"/>
    <n v="1031"/>
    <s v="Nikhil Singh"/>
    <x v="3"/>
    <s v="Corporate"/>
    <x v="1"/>
    <x v="0"/>
    <n v="4"/>
    <n v="2500"/>
    <n v="0"/>
    <s v="Cash"/>
    <x v="40"/>
    <x v="11"/>
  </r>
  <r>
    <n v="5318"/>
    <d v="2025-04-26T00:00:00"/>
    <n v="1031"/>
    <s v="Nikhil Singh"/>
    <x v="3"/>
    <s v="Corporate"/>
    <x v="1"/>
    <x v="0"/>
    <n v="3"/>
    <n v="2500"/>
    <n v="0"/>
    <s v="Net Banking"/>
    <x v="2"/>
    <x v="0"/>
  </r>
  <r>
    <n v="5467"/>
    <d v="2025-06-28T00:00:00"/>
    <n v="1031"/>
    <s v="Nikhil Singh"/>
    <x v="3"/>
    <s v="Corporate"/>
    <x v="2"/>
    <x v="0"/>
    <n v="3"/>
    <n v="55000"/>
    <n v="0"/>
    <s v="Net Banking"/>
    <x v="23"/>
    <x v="5"/>
  </r>
  <r>
    <n v="5954"/>
    <d v="2025-12-17T00:00:00"/>
    <n v="1031"/>
    <s v="Nikhil Singh"/>
    <x v="3"/>
    <s v="Corporate"/>
    <x v="7"/>
    <x v="0"/>
    <n v="3"/>
    <n v="12000"/>
    <n v="0"/>
    <s v="Debit Card"/>
    <x v="72"/>
    <x v="1"/>
  </r>
  <r>
    <n v="5964"/>
    <d v="2025-12-18T00:00:00"/>
    <n v="1031"/>
    <s v="Nikhil Singh"/>
    <x v="3"/>
    <s v="Corporate"/>
    <x v="3"/>
    <x v="1"/>
    <n v="3"/>
    <n v="350"/>
    <n v="10"/>
    <s v="Cash"/>
    <x v="128"/>
    <x v="1"/>
  </r>
  <r>
    <n v="5142"/>
    <d v="2025-02-18T00:00:00"/>
    <n v="1031"/>
    <s v="Nikhil Singh"/>
    <x v="3"/>
    <s v="Corporate"/>
    <x v="8"/>
    <x v="1"/>
    <n v="2"/>
    <n v="200"/>
    <n v="0"/>
    <s v="Cash"/>
    <x v="24"/>
    <x v="3"/>
  </r>
  <r>
    <n v="5190"/>
    <d v="2025-03-05T00:00:00"/>
    <n v="1031"/>
    <s v="Nikhil Singh"/>
    <x v="3"/>
    <s v="Corporate"/>
    <x v="0"/>
    <x v="0"/>
    <n v="2"/>
    <n v="6000"/>
    <n v="0"/>
    <s v="UPI"/>
    <x v="25"/>
    <x v="4"/>
  </r>
  <r>
    <n v="5079"/>
    <d v="2025-01-30T00:00:00"/>
    <n v="1031"/>
    <s v="Nikhil Singh"/>
    <x v="3"/>
    <s v="Corporate"/>
    <x v="7"/>
    <x v="0"/>
    <n v="1"/>
    <n v="12000"/>
    <n v="0"/>
    <s v="Credit Card"/>
    <x v="25"/>
    <x v="9"/>
  </r>
  <r>
    <n v="5283"/>
    <d v="2025-04-16T00:00:00"/>
    <n v="1031"/>
    <s v="Nikhil Singh"/>
    <x v="3"/>
    <s v="Corporate"/>
    <x v="2"/>
    <x v="0"/>
    <n v="1"/>
    <n v="55000"/>
    <n v="5"/>
    <s v="Cash"/>
    <x v="43"/>
    <x v="0"/>
  </r>
  <r>
    <n v="5380"/>
    <d v="2025-05-28T00:00:00"/>
    <n v="1031"/>
    <s v="Nikhil Singh"/>
    <x v="3"/>
    <s v="Corporate"/>
    <x v="1"/>
    <x v="0"/>
    <n v="1"/>
    <n v="2500"/>
    <n v="0"/>
    <s v="Credit Card"/>
    <x v="12"/>
    <x v="8"/>
  </r>
  <r>
    <n v="5437"/>
    <d v="2025-06-17T00:00:00"/>
    <n v="1031"/>
    <s v="Nikhil Singh"/>
    <x v="3"/>
    <s v="Corporate"/>
    <x v="0"/>
    <x v="0"/>
    <n v="1"/>
    <n v="6000"/>
    <n v="0"/>
    <s v="UPI"/>
    <x v="98"/>
    <x v="5"/>
  </r>
  <r>
    <n v="5951"/>
    <d v="2025-12-16T00:00:00"/>
    <n v="1031"/>
    <s v="Nikhil Singh"/>
    <x v="3"/>
    <s v="Corporate"/>
    <x v="8"/>
    <x v="1"/>
    <n v="1"/>
    <n v="200"/>
    <n v="0"/>
    <s v="Cash"/>
    <x v="75"/>
    <x v="1"/>
  </r>
  <r>
    <n v="5092"/>
    <d v="2025-02-04T00:00:00"/>
    <n v="1032"/>
    <s v="Anjali Rao"/>
    <x v="0"/>
    <s v="Corporate"/>
    <x v="1"/>
    <x v="0"/>
    <n v="5"/>
    <n v="2500"/>
    <n v="10"/>
    <s v="Debit Card"/>
    <x v="99"/>
    <x v="3"/>
  </r>
  <r>
    <n v="5201"/>
    <d v="2025-03-11T00:00:00"/>
    <n v="1032"/>
    <s v="Anjali Rao"/>
    <x v="0"/>
    <s v="Corporate"/>
    <x v="6"/>
    <x v="2"/>
    <n v="4"/>
    <n v="900"/>
    <n v="0"/>
    <s v="Net Banking"/>
    <x v="85"/>
    <x v="4"/>
  </r>
  <r>
    <n v="5369"/>
    <d v="2025-05-21T00:00:00"/>
    <n v="1032"/>
    <s v="Anjali Rao"/>
    <x v="0"/>
    <s v="Corporate"/>
    <x v="10"/>
    <x v="0"/>
    <n v="4"/>
    <n v="18000"/>
    <n v="0"/>
    <s v="Credit Card"/>
    <x v="46"/>
    <x v="8"/>
  </r>
  <r>
    <n v="5386"/>
    <d v="2025-05-31T00:00:00"/>
    <n v="1032"/>
    <s v="Anjali Rao"/>
    <x v="0"/>
    <s v="Corporate"/>
    <x v="4"/>
    <x v="2"/>
    <n v="4"/>
    <n v="16000"/>
    <n v="5"/>
    <s v="Cash"/>
    <x v="84"/>
    <x v="8"/>
  </r>
  <r>
    <n v="5602"/>
    <d v="2025-08-15T00:00:00"/>
    <n v="1032"/>
    <s v="Anjali Rao"/>
    <x v="0"/>
    <s v="Corporate"/>
    <x v="1"/>
    <x v="0"/>
    <n v="4"/>
    <n v="2500"/>
    <n v="5"/>
    <s v="Debit Card"/>
    <x v="80"/>
    <x v="6"/>
  </r>
  <r>
    <n v="5691"/>
    <d v="2025-09-19T00:00:00"/>
    <n v="1032"/>
    <s v="Anjali Rao"/>
    <x v="0"/>
    <s v="Corporate"/>
    <x v="2"/>
    <x v="0"/>
    <n v="4"/>
    <n v="55000"/>
    <n v="0"/>
    <s v="Credit Card"/>
    <x v="38"/>
    <x v="7"/>
  </r>
  <r>
    <n v="5729"/>
    <d v="2025-09-30T00:00:00"/>
    <n v="1032"/>
    <s v="Anjali Rao"/>
    <x v="0"/>
    <s v="Corporate"/>
    <x v="3"/>
    <x v="1"/>
    <n v="4"/>
    <n v="350"/>
    <n v="0"/>
    <s v="Debit Card"/>
    <x v="28"/>
    <x v="7"/>
  </r>
  <r>
    <n v="5748"/>
    <d v="2025-10-08T00:00:00"/>
    <n v="1032"/>
    <s v="Anjali Rao"/>
    <x v="0"/>
    <s v="Corporate"/>
    <x v="1"/>
    <x v="0"/>
    <n v="4"/>
    <n v="2500"/>
    <n v="0"/>
    <s v="Net Banking"/>
    <x v="40"/>
    <x v="11"/>
  </r>
  <r>
    <n v="5011"/>
    <d v="2025-01-03T00:00:00"/>
    <n v="1032"/>
    <s v="Anjali Rao"/>
    <x v="0"/>
    <s v="Corporate"/>
    <x v="2"/>
    <x v="0"/>
    <n v="3"/>
    <n v="55000"/>
    <n v="10"/>
    <s v="Net Banking"/>
    <x v="157"/>
    <x v="9"/>
  </r>
  <r>
    <n v="5500"/>
    <d v="2025-07-08T00:00:00"/>
    <n v="1032"/>
    <s v="Anjali Rao"/>
    <x v="0"/>
    <s v="Corporate"/>
    <x v="6"/>
    <x v="2"/>
    <n v="3"/>
    <n v="900"/>
    <n v="0"/>
    <s v="UPI"/>
    <x v="86"/>
    <x v="2"/>
  </r>
  <r>
    <n v="5620"/>
    <d v="2025-08-21T00:00:00"/>
    <n v="1032"/>
    <s v="Anjali Rao"/>
    <x v="0"/>
    <s v="Corporate"/>
    <x v="6"/>
    <x v="2"/>
    <n v="3"/>
    <n v="900"/>
    <n v="0"/>
    <s v="Credit Card"/>
    <x v="86"/>
    <x v="6"/>
  </r>
  <r>
    <n v="5833"/>
    <d v="2025-11-04T00:00:00"/>
    <n v="1032"/>
    <s v="Anjali Rao"/>
    <x v="0"/>
    <s v="Corporate"/>
    <x v="11"/>
    <x v="0"/>
    <n v="3"/>
    <n v="9500"/>
    <n v="10"/>
    <s v="Cash"/>
    <x v="69"/>
    <x v="10"/>
  </r>
  <r>
    <n v="5365"/>
    <d v="2025-05-19T00:00:00"/>
    <n v="1032"/>
    <s v="Anjali Rao"/>
    <x v="0"/>
    <s v="Corporate"/>
    <x v="7"/>
    <x v="0"/>
    <n v="2"/>
    <n v="12000"/>
    <n v="0"/>
    <s v="Cash"/>
    <x v="1"/>
    <x v="8"/>
  </r>
  <r>
    <n v="5559"/>
    <d v="2025-07-30T00:00:00"/>
    <n v="1032"/>
    <s v="Anjali Rao"/>
    <x v="0"/>
    <s v="Corporate"/>
    <x v="11"/>
    <x v="0"/>
    <n v="2"/>
    <n v="9500"/>
    <n v="0"/>
    <s v="UPI"/>
    <x v="122"/>
    <x v="2"/>
  </r>
  <r>
    <n v="5658"/>
    <d v="2025-09-04T00:00:00"/>
    <n v="1032"/>
    <s v="Anjali Rao"/>
    <x v="0"/>
    <s v="Corporate"/>
    <x v="9"/>
    <x v="2"/>
    <n v="2"/>
    <n v="7500"/>
    <n v="0"/>
    <s v="Debit Card"/>
    <x v="106"/>
    <x v="7"/>
  </r>
  <r>
    <n v="5253"/>
    <d v="2025-04-02T00:00:00"/>
    <n v="1032"/>
    <s v="Anjali Rao"/>
    <x v="1"/>
    <s v="Corporate"/>
    <x v="7"/>
    <x v="0"/>
    <n v="1"/>
    <n v="12000"/>
    <n v="0"/>
    <s v="Debit Card"/>
    <x v="25"/>
    <x v="0"/>
  </r>
  <r>
    <n v="5420"/>
    <d v="2025-06-11T00:00:00"/>
    <n v="1032"/>
    <s v="Anjali Rao"/>
    <x v="0"/>
    <s v="Corporate"/>
    <x v="4"/>
    <x v="2"/>
    <n v="1"/>
    <n v="16000"/>
    <n v="0"/>
    <s v="UPI"/>
    <x v="143"/>
    <x v="5"/>
  </r>
  <r>
    <n v="5549"/>
    <d v="2025-07-23T00:00:00"/>
    <n v="1032"/>
    <s v="Anjali Rao"/>
    <x v="0"/>
    <s v="Corporate"/>
    <x v="7"/>
    <x v="0"/>
    <n v="1"/>
    <n v="12000"/>
    <n v="0"/>
    <s v="UPI"/>
    <x v="25"/>
    <x v="2"/>
  </r>
  <r>
    <n v="5616"/>
    <d v="2025-08-20T00:00:00"/>
    <n v="1032"/>
    <s v="Anjali Rao"/>
    <x v="0"/>
    <s v="Corporate"/>
    <x v="5"/>
    <x v="0"/>
    <n v="1"/>
    <n v="22000"/>
    <n v="0"/>
    <s v="Net Banking"/>
    <x v="10"/>
    <x v="6"/>
  </r>
  <r>
    <n v="5657"/>
    <d v="2025-09-03T00:00:00"/>
    <n v="1032"/>
    <s v="Anjali Rao"/>
    <x v="0"/>
    <s v="Corporate"/>
    <x v="5"/>
    <x v="0"/>
    <n v="1"/>
    <n v="22000"/>
    <n v="0"/>
    <s v="Cash"/>
    <x v="10"/>
    <x v="7"/>
  </r>
  <r>
    <n v="5035"/>
    <d v="2025-01-12T00:00:00"/>
    <n v="1033"/>
    <s v="Arjun Khan"/>
    <x v="3"/>
    <s v="Consumer"/>
    <x v="10"/>
    <x v="0"/>
    <n v="5"/>
    <n v="18000"/>
    <n v="0"/>
    <s v="Credit Card"/>
    <x v="100"/>
    <x v="9"/>
  </r>
  <r>
    <n v="5080"/>
    <d v="2025-01-31T00:00:00"/>
    <n v="1033"/>
    <s v="Arjun Khan"/>
    <x v="3"/>
    <s v="Consumer"/>
    <x v="5"/>
    <x v="0"/>
    <n v="5"/>
    <n v="22000"/>
    <n v="10"/>
    <s v="Credit Card"/>
    <x v="34"/>
    <x v="9"/>
  </r>
  <r>
    <n v="5622"/>
    <d v="2025-08-21T00:00:00"/>
    <n v="1033"/>
    <s v="Arjun Khan"/>
    <x v="3"/>
    <s v="Consumer"/>
    <x v="6"/>
    <x v="2"/>
    <n v="5"/>
    <n v="900"/>
    <n v="5"/>
    <s v="Credit Card"/>
    <x v="151"/>
    <x v="6"/>
  </r>
  <r>
    <n v="5819"/>
    <d v="2025-11-01T00:00:00"/>
    <n v="1033"/>
    <s v="Arjun Khan"/>
    <x v="1"/>
    <s v="Consumer"/>
    <x v="4"/>
    <x v="2"/>
    <n v="5"/>
    <n v="16000"/>
    <n v="0"/>
    <s v="Debit Card"/>
    <x v="26"/>
    <x v="10"/>
  </r>
  <r>
    <n v="5336"/>
    <d v="2025-05-04T00:00:00"/>
    <n v="1033"/>
    <s v="Arjun Khan"/>
    <x v="3"/>
    <s v="Consumer"/>
    <x v="5"/>
    <x v="0"/>
    <n v="4"/>
    <n v="22000"/>
    <n v="0"/>
    <s v="Credit Card"/>
    <x v="19"/>
    <x v="8"/>
  </r>
  <r>
    <n v="5854"/>
    <d v="2025-11-09T00:00:00"/>
    <n v="1033"/>
    <s v="Arjun Khan"/>
    <x v="3"/>
    <s v="Consumer"/>
    <x v="8"/>
    <x v="1"/>
    <n v="4"/>
    <n v="200"/>
    <n v="5"/>
    <s v="Cash"/>
    <x v="20"/>
    <x v="10"/>
  </r>
  <r>
    <n v="5023"/>
    <d v="2025-01-07T00:00:00"/>
    <n v="1033"/>
    <s v="Arjun Khan"/>
    <x v="3"/>
    <s v="Consumer"/>
    <x v="1"/>
    <x v="0"/>
    <n v="3"/>
    <n v="2500"/>
    <n v="0"/>
    <s v="Net Banking"/>
    <x v="2"/>
    <x v="9"/>
  </r>
  <r>
    <n v="5818"/>
    <d v="2025-10-31T00:00:00"/>
    <n v="1033"/>
    <s v="Arjun Khan"/>
    <x v="3"/>
    <s v="Consumer"/>
    <x v="11"/>
    <x v="0"/>
    <n v="3"/>
    <n v="9500"/>
    <n v="0"/>
    <s v="Credit Card"/>
    <x v="50"/>
    <x v="11"/>
  </r>
  <r>
    <n v="5837"/>
    <d v="2025-11-05T00:00:00"/>
    <n v="1033"/>
    <s v="Arjun Khan"/>
    <x v="3"/>
    <s v="Consumer"/>
    <x v="1"/>
    <x v="0"/>
    <n v="3"/>
    <n v="2500"/>
    <n v="5"/>
    <s v="Net Banking"/>
    <x v="74"/>
    <x v="10"/>
  </r>
  <r>
    <n v="5425"/>
    <d v="2025-06-12T00:00:00"/>
    <n v="1033"/>
    <s v="Arjun Khan"/>
    <x v="3"/>
    <s v="Consumer"/>
    <x v="5"/>
    <x v="0"/>
    <n v="2"/>
    <n v="22000"/>
    <n v="10"/>
    <s v="Net Banking"/>
    <x v="97"/>
    <x v="5"/>
  </r>
  <r>
    <n v="5601"/>
    <d v="2025-08-15T00:00:00"/>
    <n v="1033"/>
    <s v="Arjun Khan"/>
    <x v="3"/>
    <s v="Consumer"/>
    <x v="8"/>
    <x v="1"/>
    <n v="2"/>
    <n v="200"/>
    <n v="15"/>
    <s v="UPI"/>
    <x v="142"/>
    <x v="6"/>
  </r>
  <r>
    <n v="5041"/>
    <d v="2025-01-15T00:00:00"/>
    <n v="1033"/>
    <s v="Arjun Khan"/>
    <x v="3"/>
    <s v="Consumer"/>
    <x v="9"/>
    <x v="2"/>
    <n v="1"/>
    <n v="7500"/>
    <n v="15"/>
    <s v="Net Banking"/>
    <x v="132"/>
    <x v="9"/>
  </r>
  <r>
    <n v="5277"/>
    <d v="2025-04-14T00:00:00"/>
    <n v="1033"/>
    <s v="Arjun Khan"/>
    <x v="3"/>
    <s v="Consumer"/>
    <x v="5"/>
    <x v="0"/>
    <n v="1"/>
    <n v="22000"/>
    <n v="5"/>
    <s v="Net Banking"/>
    <x v="114"/>
    <x v="0"/>
  </r>
  <r>
    <n v="5548"/>
    <d v="2025-07-23T00:00:00"/>
    <n v="1033"/>
    <s v="Arjun Khan"/>
    <x v="3"/>
    <s v="Consumer"/>
    <x v="6"/>
    <x v="2"/>
    <n v="1"/>
    <n v="900"/>
    <n v="0"/>
    <s v="Net Banking"/>
    <x v="44"/>
    <x v="2"/>
  </r>
  <r>
    <n v="5839"/>
    <d v="2025-11-05T00:00:00"/>
    <n v="1033"/>
    <s v="Arjun Khan"/>
    <x v="3"/>
    <s v="Consumer"/>
    <x v="7"/>
    <x v="0"/>
    <n v="1"/>
    <n v="12000"/>
    <n v="0"/>
    <s v="Net Banking"/>
    <x v="25"/>
    <x v="10"/>
  </r>
  <r>
    <n v="5265"/>
    <d v="2025-04-09T00:00:00"/>
    <n v="1034"/>
    <s v="Nikhil Khan"/>
    <x v="0"/>
    <s v="Consumer"/>
    <x v="5"/>
    <x v="0"/>
    <n v="5"/>
    <n v="22000"/>
    <n v="0"/>
    <s v="Credit Card"/>
    <x v="49"/>
    <x v="0"/>
  </r>
  <r>
    <n v="5540"/>
    <d v="2025-07-21T00:00:00"/>
    <n v="1034"/>
    <s v="Nikhil Khan"/>
    <x v="0"/>
    <s v="Consumer"/>
    <x v="0"/>
    <x v="0"/>
    <n v="5"/>
    <n v="6000"/>
    <n v="0"/>
    <s v="Debit Card"/>
    <x v="0"/>
    <x v="2"/>
  </r>
  <r>
    <n v="5675"/>
    <d v="2025-09-11T00:00:00"/>
    <n v="1034"/>
    <s v="Nikhil Khan"/>
    <x v="0"/>
    <s v="Consumer"/>
    <x v="8"/>
    <x v="1"/>
    <n v="5"/>
    <n v="200"/>
    <n v="5"/>
    <s v="UPI"/>
    <x v="131"/>
    <x v="7"/>
  </r>
  <r>
    <n v="5697"/>
    <d v="2025-09-21T00:00:00"/>
    <n v="1034"/>
    <s v="Nikhil Khan"/>
    <x v="0"/>
    <s v="Consumer"/>
    <x v="1"/>
    <x v="0"/>
    <n v="4"/>
    <n v="2500"/>
    <n v="10"/>
    <s v="Cash"/>
    <x v="138"/>
    <x v="7"/>
  </r>
  <r>
    <n v="5762"/>
    <d v="2025-10-12T00:00:00"/>
    <n v="1034"/>
    <s v="Nikhil Khan"/>
    <x v="0"/>
    <s v="Consumer"/>
    <x v="10"/>
    <x v="0"/>
    <n v="4"/>
    <n v="18000"/>
    <n v="0"/>
    <s v="Debit Card"/>
    <x v="46"/>
    <x v="11"/>
  </r>
  <r>
    <n v="5065"/>
    <d v="2025-01-21T00:00:00"/>
    <n v="1034"/>
    <s v="Nikhil Khan"/>
    <x v="0"/>
    <s v="Consumer"/>
    <x v="1"/>
    <x v="0"/>
    <n v="3"/>
    <n v="2500"/>
    <n v="10"/>
    <s v="Net Banking"/>
    <x v="47"/>
    <x v="9"/>
  </r>
  <r>
    <n v="5112"/>
    <d v="2025-02-10T00:00:00"/>
    <n v="1034"/>
    <s v="Nikhil Khan"/>
    <x v="0"/>
    <s v="Consumer"/>
    <x v="9"/>
    <x v="2"/>
    <n v="3"/>
    <n v="7500"/>
    <n v="15"/>
    <s v="UPI"/>
    <x v="158"/>
    <x v="3"/>
  </r>
  <r>
    <n v="5638"/>
    <d v="2025-08-26T00:00:00"/>
    <n v="1034"/>
    <s v="Nikhil Khan"/>
    <x v="0"/>
    <s v="Consumer"/>
    <x v="8"/>
    <x v="1"/>
    <n v="3"/>
    <n v="200"/>
    <n v="0"/>
    <s v="Debit Card"/>
    <x v="42"/>
    <x v="6"/>
  </r>
  <r>
    <n v="5952"/>
    <d v="2025-12-16T00:00:00"/>
    <n v="1034"/>
    <s v="Nikhil Khan"/>
    <x v="0"/>
    <s v="Consumer"/>
    <x v="10"/>
    <x v="0"/>
    <n v="3"/>
    <n v="18000"/>
    <n v="0"/>
    <s v="UPI"/>
    <x v="45"/>
    <x v="1"/>
  </r>
  <r>
    <n v="5197"/>
    <d v="2025-03-08T00:00:00"/>
    <n v="1034"/>
    <s v="Nikhil Khan"/>
    <x v="0"/>
    <s v="Consumer"/>
    <x v="9"/>
    <x v="2"/>
    <n v="2"/>
    <n v="7500"/>
    <n v="0"/>
    <s v="Cash"/>
    <x v="106"/>
    <x v="4"/>
  </r>
  <r>
    <n v="5325"/>
    <d v="2025-04-28T00:00:00"/>
    <n v="1034"/>
    <s v="Nikhil Khan"/>
    <x v="0"/>
    <s v="Consumer"/>
    <x v="3"/>
    <x v="1"/>
    <n v="2"/>
    <n v="350"/>
    <n v="0"/>
    <s v="Net Banking"/>
    <x v="6"/>
    <x v="0"/>
  </r>
  <r>
    <n v="5364"/>
    <d v="2025-05-19T00:00:00"/>
    <n v="1034"/>
    <s v="Nikhil Khan"/>
    <x v="0"/>
    <s v="Consumer"/>
    <x v="8"/>
    <x v="1"/>
    <n v="2"/>
    <n v="200"/>
    <n v="5"/>
    <s v="Cash"/>
    <x v="159"/>
    <x v="8"/>
  </r>
  <r>
    <n v="5731"/>
    <d v="2025-09-30T00:00:00"/>
    <n v="1034"/>
    <s v="Nikhil Khan"/>
    <x v="0"/>
    <s v="Consumer"/>
    <x v="3"/>
    <x v="1"/>
    <n v="2"/>
    <n v="350"/>
    <n v="0"/>
    <s v="Credit Card"/>
    <x v="6"/>
    <x v="7"/>
  </r>
  <r>
    <n v="5134"/>
    <d v="2025-02-15T00:00:00"/>
    <n v="1034"/>
    <s v="Nikhil Khan"/>
    <x v="0"/>
    <s v="Consumer"/>
    <x v="3"/>
    <x v="1"/>
    <n v="1"/>
    <n v="350"/>
    <n v="0"/>
    <s v="Cash"/>
    <x v="93"/>
    <x v="3"/>
  </r>
  <r>
    <n v="5428"/>
    <d v="2025-06-13T00:00:00"/>
    <n v="1035"/>
    <s v="Diya Patel"/>
    <x v="0"/>
    <s v="Consumer"/>
    <x v="11"/>
    <x v="0"/>
    <n v="5"/>
    <n v="9500"/>
    <n v="5"/>
    <s v="Credit Card"/>
    <x v="125"/>
    <x v="5"/>
  </r>
  <r>
    <n v="5597"/>
    <d v="2025-08-13T00:00:00"/>
    <n v="1035"/>
    <s v="Diya Patel"/>
    <x v="0"/>
    <s v="Consumer"/>
    <x v="8"/>
    <x v="1"/>
    <n v="5"/>
    <n v="200"/>
    <n v="0"/>
    <s v="Net Banking"/>
    <x v="15"/>
    <x v="6"/>
  </r>
  <r>
    <n v="5155"/>
    <d v="2025-02-22T00:00:00"/>
    <n v="1035"/>
    <s v="Diya Patel"/>
    <x v="1"/>
    <s v="Consumer"/>
    <x v="6"/>
    <x v="2"/>
    <n v="4"/>
    <n v="900"/>
    <n v="0"/>
    <s v="Cash"/>
    <x v="85"/>
    <x v="3"/>
  </r>
  <r>
    <n v="5244"/>
    <d v="2025-03-31T00:00:00"/>
    <n v="1035"/>
    <s v="Diya Patel"/>
    <x v="0"/>
    <s v="Consumer"/>
    <x v="5"/>
    <x v="0"/>
    <n v="4"/>
    <n v="22000"/>
    <n v="0"/>
    <s v="Net Banking"/>
    <x v="19"/>
    <x v="4"/>
  </r>
  <r>
    <n v="5372"/>
    <d v="2025-05-23T00:00:00"/>
    <n v="1035"/>
    <s v="Diya Patel"/>
    <x v="0"/>
    <s v="Consumer"/>
    <x v="3"/>
    <x v="1"/>
    <n v="4"/>
    <n v="350"/>
    <n v="5"/>
    <s v="Debit Card"/>
    <x v="37"/>
    <x v="8"/>
  </r>
  <r>
    <n v="5460"/>
    <d v="2025-06-25T00:00:00"/>
    <n v="1035"/>
    <s v="Diya Patel"/>
    <x v="0"/>
    <s v="Consumer"/>
    <x v="9"/>
    <x v="2"/>
    <n v="4"/>
    <n v="7500"/>
    <n v="15"/>
    <s v="Debit Card"/>
    <x v="160"/>
    <x v="5"/>
  </r>
  <r>
    <n v="5823"/>
    <d v="2025-11-02T00:00:00"/>
    <n v="1035"/>
    <s v="Diya Patel"/>
    <x v="0"/>
    <s v="Consumer"/>
    <x v="8"/>
    <x v="1"/>
    <n v="4"/>
    <n v="200"/>
    <n v="5"/>
    <s v="Cash"/>
    <x v="20"/>
    <x v="10"/>
  </r>
  <r>
    <n v="5459"/>
    <d v="2025-06-24T00:00:00"/>
    <n v="1035"/>
    <s v="Diya Patel"/>
    <x v="0"/>
    <s v="Consumer"/>
    <x v="9"/>
    <x v="2"/>
    <n v="3"/>
    <n v="7500"/>
    <n v="0"/>
    <s v="Net Banking"/>
    <x v="52"/>
    <x v="5"/>
  </r>
  <r>
    <n v="5899"/>
    <d v="2025-12-01T00:00:00"/>
    <n v="1035"/>
    <s v="Diya Patel"/>
    <x v="0"/>
    <s v="Consumer"/>
    <x v="10"/>
    <x v="0"/>
    <n v="3"/>
    <n v="18000"/>
    <n v="0"/>
    <s v="Debit Card"/>
    <x v="45"/>
    <x v="1"/>
  </r>
  <r>
    <n v="5947"/>
    <d v="2025-12-14T00:00:00"/>
    <n v="1035"/>
    <s v="Diya Patel"/>
    <x v="0"/>
    <s v="Consumer"/>
    <x v="2"/>
    <x v="0"/>
    <n v="3"/>
    <n v="55000"/>
    <n v="10"/>
    <s v="Debit Card"/>
    <x v="157"/>
    <x v="1"/>
  </r>
  <r>
    <n v="5044"/>
    <d v="2025-01-16T00:00:00"/>
    <n v="1035"/>
    <s v="Diya Patel"/>
    <x v="0"/>
    <s v="Consumer"/>
    <x v="7"/>
    <x v="0"/>
    <n v="2"/>
    <n v="12000"/>
    <n v="15"/>
    <s v="Cash"/>
    <x v="161"/>
    <x v="9"/>
  </r>
  <r>
    <n v="5327"/>
    <d v="2025-04-30T00:00:00"/>
    <n v="1035"/>
    <s v="Diya Patel"/>
    <x v="0"/>
    <s v="Consumer"/>
    <x v="9"/>
    <x v="2"/>
    <n v="1"/>
    <n v="7500"/>
    <n v="5"/>
    <s v="Credit Card"/>
    <x v="74"/>
    <x v="0"/>
  </r>
  <r>
    <n v="5331"/>
    <d v="2025-05-02T00:00:00"/>
    <n v="1035"/>
    <s v="Diya Patel"/>
    <x v="0"/>
    <s v="Consumer"/>
    <x v="9"/>
    <x v="2"/>
    <n v="1"/>
    <n v="7500"/>
    <n v="5"/>
    <s v="Credit Card"/>
    <x v="74"/>
    <x v="8"/>
  </r>
  <r>
    <n v="5737"/>
    <d v="2025-10-02T00:00:00"/>
    <n v="1036"/>
    <s v="Kavya Reddy"/>
    <x v="2"/>
    <s v="Consumer"/>
    <x v="5"/>
    <x v="0"/>
    <n v="5"/>
    <n v="22000"/>
    <n v="0"/>
    <s v="Net Banking"/>
    <x v="49"/>
    <x v="11"/>
  </r>
  <r>
    <n v="5123"/>
    <d v="2025-02-13T00:00:00"/>
    <n v="1036"/>
    <s v="Kavya Reddy"/>
    <x v="2"/>
    <s v="Consumer"/>
    <x v="0"/>
    <x v="0"/>
    <n v="4"/>
    <n v="6000"/>
    <n v="10"/>
    <s v="UPI"/>
    <x v="78"/>
    <x v="3"/>
  </r>
  <r>
    <n v="5246"/>
    <d v="2025-03-31T00:00:00"/>
    <n v="1036"/>
    <s v="Kavya Reddy"/>
    <x v="2"/>
    <s v="Consumer"/>
    <x v="10"/>
    <x v="0"/>
    <n v="4"/>
    <n v="18000"/>
    <n v="0"/>
    <s v="Cash"/>
    <x v="46"/>
    <x v="4"/>
  </r>
  <r>
    <n v="5558"/>
    <d v="2025-07-28T00:00:00"/>
    <n v="1036"/>
    <s v="Kavya Reddy"/>
    <x v="2"/>
    <s v="Consumer"/>
    <x v="9"/>
    <x v="2"/>
    <n v="4"/>
    <n v="7500"/>
    <n v="0"/>
    <s v="UPI"/>
    <x v="0"/>
    <x v="2"/>
  </r>
  <r>
    <n v="5018"/>
    <d v="2025-01-06T00:00:00"/>
    <n v="1036"/>
    <s v="Kavya Reddy"/>
    <x v="2"/>
    <s v="Consumer"/>
    <x v="3"/>
    <x v="1"/>
    <n v="3"/>
    <n v="350"/>
    <n v="0"/>
    <s v="Net Banking"/>
    <x v="22"/>
    <x v="9"/>
  </r>
  <r>
    <n v="5096"/>
    <d v="2025-02-04T00:00:00"/>
    <n v="1036"/>
    <s v="Kavya Reddy"/>
    <x v="2"/>
    <s v="Consumer"/>
    <x v="1"/>
    <x v="0"/>
    <n v="3"/>
    <n v="2500"/>
    <n v="10"/>
    <s v="UPI"/>
    <x v="47"/>
    <x v="3"/>
  </r>
  <r>
    <n v="5115"/>
    <d v="2025-02-11T00:00:00"/>
    <n v="1036"/>
    <s v="Kavya Reddy"/>
    <x v="2"/>
    <s v="Consumer"/>
    <x v="3"/>
    <x v="1"/>
    <n v="3"/>
    <n v="350"/>
    <n v="0"/>
    <s v="Credit Card"/>
    <x v="22"/>
    <x v="3"/>
  </r>
  <r>
    <n v="5308"/>
    <d v="2025-04-25T00:00:00"/>
    <n v="1036"/>
    <s v="Kavya Reddy"/>
    <x v="2"/>
    <s v="Consumer"/>
    <x v="9"/>
    <x v="2"/>
    <n v="3"/>
    <n v="7500"/>
    <n v="0"/>
    <s v="UPI"/>
    <x v="52"/>
    <x v="0"/>
  </r>
  <r>
    <n v="5724"/>
    <d v="2025-09-27T00:00:00"/>
    <n v="1036"/>
    <s v="Kavya Reddy"/>
    <x v="2"/>
    <s v="Consumer"/>
    <x v="7"/>
    <x v="0"/>
    <n v="3"/>
    <n v="12000"/>
    <n v="0"/>
    <s v="UPI"/>
    <x v="72"/>
    <x v="7"/>
  </r>
  <r>
    <n v="5765"/>
    <d v="2025-10-13T00:00:00"/>
    <n v="1036"/>
    <s v="Kavya Reddy"/>
    <x v="2"/>
    <s v="Consumer"/>
    <x v="10"/>
    <x v="0"/>
    <n v="3"/>
    <n v="18000"/>
    <n v="0"/>
    <s v="Cash"/>
    <x v="45"/>
    <x v="11"/>
  </r>
  <r>
    <n v="5354"/>
    <d v="2025-05-16T00:00:00"/>
    <n v="1036"/>
    <s v="Kavya Reddy"/>
    <x v="2"/>
    <s v="Consumer"/>
    <x v="9"/>
    <x v="2"/>
    <n v="2"/>
    <n v="7500"/>
    <n v="5"/>
    <s v="Credit Card"/>
    <x v="162"/>
    <x v="8"/>
  </r>
  <r>
    <n v="5533"/>
    <d v="2025-07-18T00:00:00"/>
    <n v="1036"/>
    <s v="Kavya Reddy"/>
    <x v="2"/>
    <s v="Consumer"/>
    <x v="8"/>
    <x v="1"/>
    <n v="2"/>
    <n v="200"/>
    <n v="0"/>
    <s v="Debit Card"/>
    <x v="24"/>
    <x v="2"/>
  </r>
  <r>
    <n v="5890"/>
    <d v="2025-11-27T00:00:00"/>
    <n v="1036"/>
    <s v="Kavya Reddy"/>
    <x v="2"/>
    <s v="Consumer"/>
    <x v="6"/>
    <x v="2"/>
    <n v="2"/>
    <n v="900"/>
    <n v="0"/>
    <s v="Credit Card"/>
    <x v="62"/>
    <x v="10"/>
  </r>
  <r>
    <n v="5935"/>
    <d v="2025-12-10T00:00:00"/>
    <n v="1036"/>
    <s v="Kavya Reddy"/>
    <x v="2"/>
    <s v="Consumer"/>
    <x v="8"/>
    <x v="1"/>
    <n v="2"/>
    <n v="200"/>
    <n v="15"/>
    <s v="Credit Card"/>
    <x v="142"/>
    <x v="1"/>
  </r>
  <r>
    <n v="5205"/>
    <d v="2025-03-12T00:00:00"/>
    <n v="1036"/>
    <s v="Kavya Reddy"/>
    <x v="2"/>
    <s v="Consumer"/>
    <x v="11"/>
    <x v="0"/>
    <n v="1"/>
    <n v="9500"/>
    <n v="10"/>
    <s v="Cash"/>
    <x v="163"/>
    <x v="4"/>
  </r>
  <r>
    <n v="5328"/>
    <d v="2025-04-30T00:00:00"/>
    <n v="1036"/>
    <s v="Kavya Reddy"/>
    <x v="2"/>
    <s v="Consumer"/>
    <x v="7"/>
    <x v="0"/>
    <n v="1"/>
    <n v="12000"/>
    <n v="5"/>
    <s v="UPI"/>
    <x v="129"/>
    <x v="0"/>
  </r>
  <r>
    <n v="5344"/>
    <d v="2025-05-12T00:00:00"/>
    <n v="1036"/>
    <s v="Kavya Reddy"/>
    <x v="2"/>
    <s v="Consumer"/>
    <x v="6"/>
    <x v="2"/>
    <n v="1"/>
    <n v="900"/>
    <n v="0"/>
    <s v="Cash"/>
    <x v="44"/>
    <x v="8"/>
  </r>
  <r>
    <n v="5491"/>
    <d v="2025-07-05T00:00:00"/>
    <n v="1036"/>
    <s v="Kavya Reddy"/>
    <x v="2"/>
    <s v="Consumer"/>
    <x v="8"/>
    <x v="1"/>
    <n v="1"/>
    <n v="200"/>
    <n v="0"/>
    <s v="Net Banking"/>
    <x v="75"/>
    <x v="2"/>
  </r>
  <r>
    <n v="5225"/>
    <d v="2025-03-26T00:00:00"/>
    <n v="1037"/>
    <s v="Pooja Reddy"/>
    <x v="4"/>
    <s v="Consumer"/>
    <x v="7"/>
    <x v="0"/>
    <n v="5"/>
    <n v="12000"/>
    <n v="0"/>
    <s v="Debit Card"/>
    <x v="35"/>
    <x v="4"/>
  </r>
  <r>
    <n v="5529"/>
    <d v="2025-07-17T00:00:00"/>
    <n v="1037"/>
    <s v="Pooja Reddy"/>
    <x v="4"/>
    <s v="Consumer"/>
    <x v="11"/>
    <x v="0"/>
    <n v="5"/>
    <n v="9500"/>
    <n v="0"/>
    <s v="Debit Card"/>
    <x v="107"/>
    <x v="2"/>
  </r>
  <r>
    <n v="5005"/>
    <d v="2025-01-02T00:00:00"/>
    <n v="1037"/>
    <s v="Pooja Reddy"/>
    <x v="4"/>
    <s v="Consumer"/>
    <x v="3"/>
    <x v="1"/>
    <n v="4"/>
    <n v="350"/>
    <n v="0"/>
    <s v="Net Banking"/>
    <x v="28"/>
    <x v="9"/>
  </r>
  <r>
    <n v="5268"/>
    <d v="2025-04-09T00:00:00"/>
    <n v="1037"/>
    <s v="Pooja Reddy"/>
    <x v="1"/>
    <s v="Consumer"/>
    <x v="3"/>
    <x v="1"/>
    <n v="4"/>
    <n v="350"/>
    <n v="10"/>
    <s v="Credit Card"/>
    <x v="110"/>
    <x v="0"/>
  </r>
  <r>
    <n v="5824"/>
    <d v="2025-11-02T00:00:00"/>
    <n v="1037"/>
    <s v="Pooja Reddy"/>
    <x v="4"/>
    <s v="Consumer"/>
    <x v="0"/>
    <x v="0"/>
    <n v="4"/>
    <n v="6000"/>
    <n v="0"/>
    <s v="Cash"/>
    <x v="1"/>
    <x v="10"/>
  </r>
  <r>
    <n v="5883"/>
    <d v="2025-11-23T00:00:00"/>
    <n v="1037"/>
    <s v="Pooja Reddy"/>
    <x v="4"/>
    <s v="Consumer"/>
    <x v="0"/>
    <x v="0"/>
    <n v="4"/>
    <n v="6000"/>
    <n v="0"/>
    <s v="Cash"/>
    <x v="1"/>
    <x v="10"/>
  </r>
  <r>
    <n v="5362"/>
    <d v="2025-05-18T00:00:00"/>
    <n v="1037"/>
    <s v="Pooja Reddy"/>
    <x v="4"/>
    <s v="Consumer"/>
    <x v="1"/>
    <x v="0"/>
    <n v="3"/>
    <n v="2500"/>
    <n v="10"/>
    <s v="Debit Card"/>
    <x v="47"/>
    <x v="8"/>
  </r>
  <r>
    <n v="5844"/>
    <d v="2025-11-07T00:00:00"/>
    <n v="1037"/>
    <s v="Pooja Reddy"/>
    <x v="4"/>
    <s v="Consumer"/>
    <x v="5"/>
    <x v="0"/>
    <n v="3"/>
    <n v="22000"/>
    <n v="5"/>
    <s v="Cash"/>
    <x v="164"/>
    <x v="10"/>
  </r>
  <r>
    <n v="5913"/>
    <d v="2025-12-04T00:00:00"/>
    <n v="1037"/>
    <s v="Pooja Reddy"/>
    <x v="4"/>
    <s v="Consumer"/>
    <x v="3"/>
    <x v="1"/>
    <n v="3"/>
    <n v="350"/>
    <n v="15"/>
    <s v="Net Banking"/>
    <x v="165"/>
    <x v="1"/>
  </r>
  <r>
    <n v="5280"/>
    <d v="2025-04-14T00:00:00"/>
    <n v="1037"/>
    <s v="Pooja Reddy"/>
    <x v="1"/>
    <s v="Consumer"/>
    <x v="9"/>
    <x v="2"/>
    <n v="2"/>
    <n v="7500"/>
    <n v="5"/>
    <s v="Cash"/>
    <x v="162"/>
    <x v="0"/>
  </r>
  <r>
    <n v="5464"/>
    <d v="2025-06-28T00:00:00"/>
    <n v="1037"/>
    <s v="Pooja Reddy"/>
    <x v="4"/>
    <s v="Consumer"/>
    <x v="0"/>
    <x v="0"/>
    <n v="2"/>
    <n v="6000"/>
    <n v="5"/>
    <s v="Net Banking"/>
    <x v="129"/>
    <x v="5"/>
  </r>
  <r>
    <n v="5727"/>
    <d v="2025-09-29T00:00:00"/>
    <n v="1037"/>
    <s v="Pooja Reddy"/>
    <x v="4"/>
    <s v="Consumer"/>
    <x v="1"/>
    <x v="0"/>
    <n v="2"/>
    <n v="2500"/>
    <n v="0"/>
    <s v="Debit Card"/>
    <x v="7"/>
    <x v="7"/>
  </r>
  <r>
    <n v="5458"/>
    <d v="2025-06-24T00:00:00"/>
    <n v="1037"/>
    <s v="Pooja Reddy"/>
    <x v="4"/>
    <s v="Consumer"/>
    <x v="1"/>
    <x v="0"/>
    <n v="1"/>
    <n v="2500"/>
    <n v="5"/>
    <s v="UPI"/>
    <x v="115"/>
    <x v="5"/>
  </r>
  <r>
    <n v="5573"/>
    <d v="2025-08-05T00:00:00"/>
    <n v="1037"/>
    <s v="Pooja Reddy"/>
    <x v="4"/>
    <s v="Consumer"/>
    <x v="8"/>
    <x v="1"/>
    <n v="1"/>
    <n v="200"/>
    <n v="10"/>
    <s v="Debit Card"/>
    <x v="66"/>
    <x v="6"/>
  </r>
  <r>
    <n v="5652"/>
    <d v="2025-09-01T00:00:00"/>
    <n v="1037"/>
    <s v="Pooja Reddy"/>
    <x v="4"/>
    <s v="Consumer"/>
    <x v="3"/>
    <x v="1"/>
    <n v="1"/>
    <n v="350"/>
    <n v="0"/>
    <s v="Credit Card"/>
    <x v="93"/>
    <x v="7"/>
  </r>
  <r>
    <n v="5240"/>
    <d v="2025-03-29T00:00:00"/>
    <n v="1038"/>
    <s v="Neha Patel"/>
    <x v="2"/>
    <s v="Consumer"/>
    <x v="2"/>
    <x v="0"/>
    <n v="5"/>
    <n v="55000"/>
    <n v="0"/>
    <s v="Cash"/>
    <x v="144"/>
    <x v="4"/>
  </r>
  <r>
    <n v="5361"/>
    <d v="2025-05-17T00:00:00"/>
    <n v="1038"/>
    <s v="Neha Patel"/>
    <x v="2"/>
    <s v="Consumer"/>
    <x v="10"/>
    <x v="0"/>
    <n v="5"/>
    <n v="18000"/>
    <n v="0"/>
    <s v="Cash"/>
    <x v="100"/>
    <x v="8"/>
  </r>
  <r>
    <n v="5682"/>
    <d v="2025-09-15T00:00:00"/>
    <n v="1038"/>
    <s v="Neha Patel"/>
    <x v="2"/>
    <s v="Consumer"/>
    <x v="7"/>
    <x v="0"/>
    <n v="5"/>
    <n v="12000"/>
    <n v="0"/>
    <s v="Net Banking"/>
    <x v="35"/>
    <x v="7"/>
  </r>
  <r>
    <n v="5546"/>
    <d v="2025-07-22T00:00:00"/>
    <n v="1038"/>
    <s v="Neha Patel"/>
    <x v="2"/>
    <s v="Consumer"/>
    <x v="3"/>
    <x v="1"/>
    <n v="4"/>
    <n v="350"/>
    <n v="0"/>
    <s v="Credit Card"/>
    <x v="28"/>
    <x v="2"/>
  </r>
  <r>
    <n v="5254"/>
    <d v="2025-04-02T00:00:00"/>
    <n v="1038"/>
    <s v="Neha Patel"/>
    <x v="2"/>
    <s v="Consumer"/>
    <x v="1"/>
    <x v="0"/>
    <n v="3"/>
    <n v="2500"/>
    <n v="15"/>
    <s v="Cash"/>
    <x v="132"/>
    <x v="0"/>
  </r>
  <r>
    <n v="5338"/>
    <d v="2025-05-04T00:00:00"/>
    <n v="1038"/>
    <s v="Neha Patel"/>
    <x v="2"/>
    <s v="Consumer"/>
    <x v="4"/>
    <x v="2"/>
    <n v="3"/>
    <n v="16000"/>
    <n v="0"/>
    <s v="Cash"/>
    <x v="67"/>
    <x v="8"/>
  </r>
  <r>
    <n v="5828"/>
    <d v="2025-11-03T00:00:00"/>
    <n v="1038"/>
    <s v="Neha Patel"/>
    <x v="2"/>
    <s v="Consumer"/>
    <x v="7"/>
    <x v="0"/>
    <n v="3"/>
    <n v="12000"/>
    <n v="15"/>
    <s v="Debit Card"/>
    <x v="112"/>
    <x v="10"/>
  </r>
  <r>
    <n v="5926"/>
    <d v="2025-12-07T00:00:00"/>
    <n v="1038"/>
    <s v="Neha Patel"/>
    <x v="2"/>
    <s v="Consumer"/>
    <x v="3"/>
    <x v="1"/>
    <n v="3"/>
    <n v="350"/>
    <n v="0"/>
    <s v="Cash"/>
    <x v="22"/>
    <x v="1"/>
  </r>
  <r>
    <n v="5097"/>
    <d v="2025-02-04T00:00:00"/>
    <n v="1038"/>
    <s v="Neha Patel"/>
    <x v="2"/>
    <s v="Consumer"/>
    <x v="3"/>
    <x v="1"/>
    <n v="2"/>
    <n v="350"/>
    <n v="0"/>
    <s v="Debit Card"/>
    <x v="6"/>
    <x v="3"/>
  </r>
  <r>
    <n v="5455"/>
    <d v="2025-06-24T00:00:00"/>
    <n v="1038"/>
    <s v="Neha Patel"/>
    <x v="2"/>
    <s v="Consumer"/>
    <x v="1"/>
    <x v="0"/>
    <n v="2"/>
    <n v="2500"/>
    <n v="5"/>
    <s v="UPI"/>
    <x v="91"/>
    <x v="5"/>
  </r>
  <r>
    <n v="5710"/>
    <d v="2025-09-25T00:00:00"/>
    <n v="1038"/>
    <s v="Neha Patel"/>
    <x v="2"/>
    <s v="Consumer"/>
    <x v="1"/>
    <x v="0"/>
    <n v="2"/>
    <n v="2500"/>
    <n v="5"/>
    <s v="Debit Card"/>
    <x v="91"/>
    <x v="7"/>
  </r>
  <r>
    <n v="5858"/>
    <d v="2025-11-11T00:00:00"/>
    <n v="1038"/>
    <s v="Neha Patel"/>
    <x v="2"/>
    <s v="Consumer"/>
    <x v="10"/>
    <x v="0"/>
    <n v="1"/>
    <n v="18000"/>
    <n v="10"/>
    <s v="UPI"/>
    <x v="51"/>
    <x v="10"/>
  </r>
  <r>
    <n v="5879"/>
    <d v="2025-11-22T00:00:00"/>
    <n v="1038"/>
    <s v="Neha Patel"/>
    <x v="2"/>
    <s v="Consumer"/>
    <x v="3"/>
    <x v="1"/>
    <n v="1"/>
    <n v="350"/>
    <n v="10"/>
    <s v="Cash"/>
    <x v="76"/>
    <x v="10"/>
  </r>
  <r>
    <n v="5931"/>
    <d v="2025-12-08T00:00:00"/>
    <n v="1038"/>
    <s v="Neha Patel"/>
    <x v="2"/>
    <s v="Consumer"/>
    <x v="0"/>
    <x v="0"/>
    <n v="1"/>
    <n v="6000"/>
    <n v="10"/>
    <s v="Credit Card"/>
    <x v="166"/>
    <x v="1"/>
  </r>
  <r>
    <n v="5417"/>
    <d v="2025-06-09T00:00:00"/>
    <n v="1039"/>
    <s v="Vikram Reddy"/>
    <x v="2"/>
    <s v="Consumer"/>
    <x v="5"/>
    <x v="0"/>
    <n v="5"/>
    <n v="22000"/>
    <n v="0"/>
    <s v="Cash"/>
    <x v="49"/>
    <x v="5"/>
  </r>
  <r>
    <n v="5884"/>
    <d v="2025-11-24T00:00:00"/>
    <n v="1039"/>
    <s v="Vikram Reddy"/>
    <x v="2"/>
    <s v="Consumer"/>
    <x v="9"/>
    <x v="2"/>
    <n v="5"/>
    <n v="7500"/>
    <n v="0"/>
    <s v="Cash"/>
    <x v="27"/>
    <x v="10"/>
  </r>
  <r>
    <n v="5037"/>
    <d v="2025-01-14T00:00:00"/>
    <n v="1039"/>
    <s v="Vikram Reddy"/>
    <x v="2"/>
    <s v="Consumer"/>
    <x v="0"/>
    <x v="0"/>
    <n v="4"/>
    <n v="6000"/>
    <n v="0"/>
    <s v="Net Banking"/>
    <x v="1"/>
    <x v="9"/>
  </r>
  <r>
    <n v="5167"/>
    <d v="2025-02-25T00:00:00"/>
    <n v="1039"/>
    <s v="Vikram Reddy"/>
    <x v="2"/>
    <s v="Consumer"/>
    <x v="3"/>
    <x v="1"/>
    <n v="4"/>
    <n v="350"/>
    <n v="0"/>
    <s v="Cash"/>
    <x v="28"/>
    <x v="3"/>
  </r>
  <r>
    <n v="5715"/>
    <d v="2025-09-26T00:00:00"/>
    <n v="1039"/>
    <s v="Vikram Reddy"/>
    <x v="2"/>
    <s v="Consumer"/>
    <x v="3"/>
    <x v="1"/>
    <n v="4"/>
    <n v="350"/>
    <n v="0"/>
    <s v="Cash"/>
    <x v="28"/>
    <x v="7"/>
  </r>
  <r>
    <n v="5885"/>
    <d v="2025-11-24T00:00:00"/>
    <n v="1039"/>
    <s v="Vikram Reddy"/>
    <x v="2"/>
    <s v="Consumer"/>
    <x v="5"/>
    <x v="0"/>
    <n v="4"/>
    <n v="22000"/>
    <n v="5"/>
    <s v="Debit Card"/>
    <x v="167"/>
    <x v="10"/>
  </r>
  <r>
    <n v="5070"/>
    <d v="2025-01-25T00:00:00"/>
    <n v="1039"/>
    <s v="Vikram Reddy"/>
    <x v="2"/>
    <s v="Consumer"/>
    <x v="5"/>
    <x v="0"/>
    <n v="3"/>
    <n v="22000"/>
    <n v="5"/>
    <s v="UPI"/>
    <x v="164"/>
    <x v="9"/>
  </r>
  <r>
    <n v="5117"/>
    <d v="2025-02-12T00:00:00"/>
    <n v="1039"/>
    <s v="Vikram Reddy"/>
    <x v="2"/>
    <s v="Consumer"/>
    <x v="10"/>
    <x v="0"/>
    <n v="3"/>
    <n v="18000"/>
    <n v="0"/>
    <s v="Net Banking"/>
    <x v="45"/>
    <x v="3"/>
  </r>
  <r>
    <n v="5285"/>
    <d v="2025-04-16T00:00:00"/>
    <n v="1039"/>
    <s v="Vikram Reddy"/>
    <x v="2"/>
    <s v="Consumer"/>
    <x v="1"/>
    <x v="0"/>
    <n v="3"/>
    <n v="2500"/>
    <n v="5"/>
    <s v="UPI"/>
    <x v="74"/>
    <x v="0"/>
  </r>
  <r>
    <n v="5694"/>
    <d v="2025-09-21T00:00:00"/>
    <n v="1039"/>
    <s v="Vikram Reddy"/>
    <x v="2"/>
    <s v="Consumer"/>
    <x v="7"/>
    <x v="0"/>
    <n v="3"/>
    <n v="12000"/>
    <n v="0"/>
    <s v="UPI"/>
    <x v="72"/>
    <x v="7"/>
  </r>
  <r>
    <n v="5772"/>
    <d v="2025-10-14T00:00:00"/>
    <n v="1039"/>
    <s v="Vikram Reddy"/>
    <x v="2"/>
    <s v="Consumer"/>
    <x v="1"/>
    <x v="0"/>
    <n v="3"/>
    <n v="2500"/>
    <n v="0"/>
    <s v="Credit Card"/>
    <x v="2"/>
    <x v="11"/>
  </r>
  <r>
    <n v="5415"/>
    <d v="2025-06-08T00:00:00"/>
    <n v="1039"/>
    <s v="Vikram Reddy"/>
    <x v="2"/>
    <s v="Consumer"/>
    <x v="6"/>
    <x v="2"/>
    <n v="1"/>
    <n v="900"/>
    <n v="0"/>
    <s v="UPI"/>
    <x v="44"/>
    <x v="5"/>
  </r>
  <r>
    <n v="5685"/>
    <d v="2025-09-16T00:00:00"/>
    <n v="1039"/>
    <s v="Vikram Reddy"/>
    <x v="2"/>
    <s v="Consumer"/>
    <x v="1"/>
    <x v="0"/>
    <n v="1"/>
    <n v="2500"/>
    <n v="0"/>
    <s v="Cash"/>
    <x v="12"/>
    <x v="7"/>
  </r>
  <r>
    <n v="5138"/>
    <d v="2025-02-17T00:00:00"/>
    <n v="1040"/>
    <s v="Isha Singh"/>
    <x v="3"/>
    <s v="Corporate"/>
    <x v="1"/>
    <x v="0"/>
    <n v="5"/>
    <n v="2500"/>
    <n v="0"/>
    <s v="Net Banking"/>
    <x v="16"/>
    <x v="3"/>
  </r>
  <r>
    <n v="5297"/>
    <d v="2025-04-20T00:00:00"/>
    <n v="1040"/>
    <s v="Isha Singh"/>
    <x v="3"/>
    <s v="Corporate"/>
    <x v="7"/>
    <x v="0"/>
    <n v="5"/>
    <n v="12000"/>
    <n v="0"/>
    <s v="Cash"/>
    <x v="35"/>
    <x v="0"/>
  </r>
  <r>
    <n v="5393"/>
    <d v="2025-06-02T00:00:00"/>
    <n v="1040"/>
    <s v="Isha Singh"/>
    <x v="3"/>
    <s v="Corporate"/>
    <x v="0"/>
    <x v="0"/>
    <n v="5"/>
    <n v="6000"/>
    <n v="10"/>
    <s v="Credit Card"/>
    <x v="55"/>
    <x v="5"/>
  </r>
  <r>
    <n v="5423"/>
    <d v="2025-06-12T00:00:00"/>
    <n v="1040"/>
    <s v="Isha Singh"/>
    <x v="3"/>
    <s v="Corporate"/>
    <x v="3"/>
    <x v="1"/>
    <n v="5"/>
    <n v="350"/>
    <n v="10"/>
    <s v="Net Banking"/>
    <x v="96"/>
    <x v="5"/>
  </r>
  <r>
    <n v="5659"/>
    <d v="2025-09-04T00:00:00"/>
    <n v="1040"/>
    <s v="Isha Singh"/>
    <x v="3"/>
    <s v="Corporate"/>
    <x v="9"/>
    <x v="2"/>
    <n v="5"/>
    <n v="7500"/>
    <n v="5"/>
    <s v="Net Banking"/>
    <x v="95"/>
    <x v="7"/>
  </r>
  <r>
    <n v="5681"/>
    <d v="2025-09-15T00:00:00"/>
    <n v="1040"/>
    <s v="Isha Singh"/>
    <x v="3"/>
    <s v="Corporate"/>
    <x v="4"/>
    <x v="2"/>
    <n v="5"/>
    <n v="16000"/>
    <n v="15"/>
    <s v="Net Banking"/>
    <x v="134"/>
    <x v="7"/>
  </r>
  <r>
    <n v="5750"/>
    <d v="2025-10-09T00:00:00"/>
    <n v="1040"/>
    <s v="Isha Singh"/>
    <x v="3"/>
    <s v="Corporate"/>
    <x v="5"/>
    <x v="0"/>
    <n v="5"/>
    <n v="22000"/>
    <n v="5"/>
    <s v="Cash"/>
    <x v="168"/>
    <x v="11"/>
  </r>
  <r>
    <n v="5942"/>
    <d v="2025-12-13T00:00:00"/>
    <n v="1040"/>
    <s v="Isha Singh"/>
    <x v="3"/>
    <s v="Corporate"/>
    <x v="11"/>
    <x v="0"/>
    <n v="5"/>
    <n v="9500"/>
    <n v="0"/>
    <s v="Net Banking"/>
    <x v="107"/>
    <x v="1"/>
  </r>
  <r>
    <n v="5587"/>
    <d v="2025-08-10T00:00:00"/>
    <n v="1040"/>
    <s v="Isha Singh"/>
    <x v="3"/>
    <s v="Corporate"/>
    <x v="7"/>
    <x v="0"/>
    <n v="4"/>
    <n v="12000"/>
    <n v="0"/>
    <s v="Credit Card"/>
    <x v="67"/>
    <x v="6"/>
  </r>
  <r>
    <n v="5723"/>
    <d v="2025-09-27T00:00:00"/>
    <n v="1040"/>
    <s v="Isha Singh"/>
    <x v="3"/>
    <s v="Corporate"/>
    <x v="7"/>
    <x v="0"/>
    <n v="4"/>
    <n v="12000"/>
    <n v="10"/>
    <s v="Net Banking"/>
    <x v="121"/>
    <x v="7"/>
  </r>
  <r>
    <n v="5722"/>
    <d v="2025-09-27T00:00:00"/>
    <n v="1040"/>
    <s v="Isha Singh"/>
    <x v="3"/>
    <s v="Corporate"/>
    <x v="9"/>
    <x v="2"/>
    <n v="3"/>
    <n v="7500"/>
    <n v="0"/>
    <s v="Credit Card"/>
    <x v="52"/>
    <x v="7"/>
  </r>
  <r>
    <n v="5098"/>
    <d v="2025-02-06T00:00:00"/>
    <n v="1040"/>
    <s v="Isha Singh"/>
    <x v="1"/>
    <s v="Corporate"/>
    <x v="1"/>
    <x v="0"/>
    <n v="2"/>
    <n v="2500"/>
    <n v="0"/>
    <s v="UPI"/>
    <x v="7"/>
    <x v="3"/>
  </r>
  <r>
    <n v="5512"/>
    <d v="2025-07-12T00:00:00"/>
    <n v="1040"/>
    <s v="Isha Singh"/>
    <x v="3"/>
    <s v="Corporate"/>
    <x v="3"/>
    <x v="1"/>
    <n v="2"/>
    <n v="350"/>
    <n v="15"/>
    <s v="Cash"/>
    <x v="79"/>
    <x v="2"/>
  </r>
  <r>
    <n v="5786"/>
    <d v="2025-10-20T00:00:00"/>
    <n v="1040"/>
    <s v="Isha Singh"/>
    <x v="3"/>
    <s v="Corporate"/>
    <x v="5"/>
    <x v="0"/>
    <n v="2"/>
    <n v="22000"/>
    <n v="5"/>
    <s v="UPI"/>
    <x v="146"/>
    <x v="11"/>
  </r>
  <r>
    <n v="5788"/>
    <d v="2025-10-20T00:00:00"/>
    <n v="1040"/>
    <s v="Isha Singh"/>
    <x v="3"/>
    <s v="Corporate"/>
    <x v="3"/>
    <x v="1"/>
    <n v="2"/>
    <n v="350"/>
    <n v="0"/>
    <s v="Net Banking"/>
    <x v="6"/>
    <x v="11"/>
  </r>
  <r>
    <n v="5895"/>
    <d v="2025-11-29T00:00:00"/>
    <n v="1040"/>
    <s v="Isha Singh"/>
    <x v="3"/>
    <s v="Corporate"/>
    <x v="7"/>
    <x v="0"/>
    <n v="2"/>
    <n v="12000"/>
    <n v="0"/>
    <s v="UPI"/>
    <x v="1"/>
    <x v="10"/>
  </r>
  <r>
    <n v="5958"/>
    <d v="2025-12-17T00:00:00"/>
    <n v="1040"/>
    <s v="Isha Singh"/>
    <x v="3"/>
    <s v="Corporate"/>
    <x v="7"/>
    <x v="0"/>
    <n v="2"/>
    <n v="12000"/>
    <n v="0"/>
    <s v="Cash"/>
    <x v="1"/>
    <x v="1"/>
  </r>
  <r>
    <n v="5348"/>
    <d v="2025-05-14T00:00:00"/>
    <n v="1040"/>
    <s v="Isha Singh"/>
    <x v="3"/>
    <s v="Corporate"/>
    <x v="3"/>
    <x v="1"/>
    <n v="1"/>
    <n v="350"/>
    <n v="0"/>
    <s v="UPI"/>
    <x v="93"/>
    <x v="8"/>
  </r>
  <r>
    <n v="5027"/>
    <d v="2025-01-09T00:00:00"/>
    <n v="1041"/>
    <s v="Nikhil Patel"/>
    <x v="3"/>
    <s v="Consumer"/>
    <x v="4"/>
    <x v="2"/>
    <n v="5"/>
    <n v="16000"/>
    <n v="0"/>
    <s v="Credit Card"/>
    <x v="26"/>
    <x v="9"/>
  </r>
  <r>
    <n v="5210"/>
    <d v="2025-03-14T00:00:00"/>
    <n v="1041"/>
    <s v="Nikhil Patel"/>
    <x v="3"/>
    <s v="Consumer"/>
    <x v="10"/>
    <x v="0"/>
    <n v="5"/>
    <n v="18000"/>
    <n v="0"/>
    <s v="Debit Card"/>
    <x v="100"/>
    <x v="4"/>
  </r>
  <r>
    <n v="5396"/>
    <d v="2025-06-02T00:00:00"/>
    <n v="1041"/>
    <s v="Nikhil Patel"/>
    <x v="3"/>
    <s v="Consumer"/>
    <x v="0"/>
    <x v="0"/>
    <n v="5"/>
    <n v="6000"/>
    <n v="15"/>
    <s v="Cash"/>
    <x v="160"/>
    <x v="5"/>
  </r>
  <r>
    <n v="5673"/>
    <d v="2025-09-10T00:00:00"/>
    <n v="1041"/>
    <s v="Nikhil Patel"/>
    <x v="3"/>
    <s v="Consumer"/>
    <x v="3"/>
    <x v="1"/>
    <n v="5"/>
    <n v="350"/>
    <n v="5"/>
    <s v="Debit Card"/>
    <x v="17"/>
    <x v="7"/>
  </r>
  <r>
    <n v="5985"/>
    <d v="2025-12-26T00:00:00"/>
    <n v="1041"/>
    <s v="Nikhil Patel"/>
    <x v="3"/>
    <s v="Consumer"/>
    <x v="3"/>
    <x v="1"/>
    <n v="5"/>
    <n v="350"/>
    <n v="5"/>
    <s v="Cash"/>
    <x v="17"/>
    <x v="1"/>
  </r>
  <r>
    <n v="5006"/>
    <d v="2025-01-02T00:00:00"/>
    <n v="1041"/>
    <s v="Nikhil Patel"/>
    <x v="1"/>
    <s v="Consumer"/>
    <x v="5"/>
    <x v="0"/>
    <n v="4"/>
    <n v="22000"/>
    <n v="15"/>
    <s v="Credit Card"/>
    <x v="169"/>
    <x v="9"/>
  </r>
  <r>
    <n v="5313"/>
    <d v="2025-04-26T00:00:00"/>
    <n v="1041"/>
    <s v="Nikhil Patel"/>
    <x v="3"/>
    <s v="Consumer"/>
    <x v="10"/>
    <x v="0"/>
    <n v="4"/>
    <n v="18000"/>
    <n v="0"/>
    <s v="Debit Card"/>
    <x v="46"/>
    <x v="0"/>
  </r>
  <r>
    <n v="5812"/>
    <d v="2025-10-29T00:00:00"/>
    <n v="1041"/>
    <s v="Nikhil Patel"/>
    <x v="3"/>
    <s v="Consumer"/>
    <x v="9"/>
    <x v="2"/>
    <n v="4"/>
    <n v="7500"/>
    <n v="10"/>
    <s v="Net Banking"/>
    <x v="55"/>
    <x v="11"/>
  </r>
  <r>
    <n v="5124"/>
    <d v="2025-02-13T00:00:00"/>
    <n v="1041"/>
    <s v="Nikhil Patel"/>
    <x v="3"/>
    <s v="Consumer"/>
    <x v="3"/>
    <x v="1"/>
    <n v="3"/>
    <n v="350"/>
    <n v="0"/>
    <s v="Cash"/>
    <x v="22"/>
    <x v="3"/>
  </r>
  <r>
    <n v="5403"/>
    <d v="2025-06-04T00:00:00"/>
    <n v="1041"/>
    <s v="Nikhil Patel"/>
    <x v="1"/>
    <s v="Consumer"/>
    <x v="1"/>
    <x v="0"/>
    <n v="3"/>
    <n v="2500"/>
    <n v="5"/>
    <s v="Debit Card"/>
    <x v="74"/>
    <x v="5"/>
  </r>
  <r>
    <n v="5513"/>
    <d v="2025-07-13T00:00:00"/>
    <n v="1041"/>
    <s v="Nikhil Patel"/>
    <x v="3"/>
    <s v="Consumer"/>
    <x v="6"/>
    <x v="2"/>
    <n v="3"/>
    <n v="900"/>
    <n v="0"/>
    <s v="UPI"/>
    <x v="86"/>
    <x v="2"/>
  </r>
  <r>
    <n v="5784"/>
    <d v="2025-10-20T00:00:00"/>
    <n v="1041"/>
    <s v="Nikhil Patel"/>
    <x v="3"/>
    <s v="Consumer"/>
    <x v="6"/>
    <x v="2"/>
    <n v="3"/>
    <n v="900"/>
    <n v="0"/>
    <s v="Cash"/>
    <x v="86"/>
    <x v="11"/>
  </r>
  <r>
    <n v="5127"/>
    <d v="2025-02-13T00:00:00"/>
    <n v="1041"/>
    <s v="Nikhil Patel"/>
    <x v="3"/>
    <s v="Consumer"/>
    <x v="1"/>
    <x v="0"/>
    <n v="2"/>
    <n v="2500"/>
    <n v="5"/>
    <s v="Debit Card"/>
    <x v="91"/>
    <x v="3"/>
  </r>
  <r>
    <n v="5029"/>
    <d v="2025-01-10T00:00:00"/>
    <n v="1041"/>
    <s v="Nikhil Patel"/>
    <x v="3"/>
    <s v="Consumer"/>
    <x v="1"/>
    <x v="0"/>
    <n v="1"/>
    <n v="2500"/>
    <n v="5"/>
    <s v="Credit Card"/>
    <x v="115"/>
    <x v="9"/>
  </r>
  <r>
    <n v="5368"/>
    <d v="2025-05-21T00:00:00"/>
    <n v="1041"/>
    <s v="Nikhil Patel"/>
    <x v="3"/>
    <s v="Consumer"/>
    <x v="7"/>
    <x v="0"/>
    <n v="1"/>
    <n v="12000"/>
    <n v="0"/>
    <s v="Debit Card"/>
    <x v="25"/>
    <x v="8"/>
  </r>
  <r>
    <n v="5734"/>
    <d v="2025-10-01T00:00:00"/>
    <n v="1041"/>
    <s v="Nikhil Patel"/>
    <x v="3"/>
    <s v="Consumer"/>
    <x v="8"/>
    <x v="1"/>
    <n v="1"/>
    <n v="200"/>
    <n v="5"/>
    <s v="Credit Card"/>
    <x v="64"/>
    <x v="11"/>
  </r>
  <r>
    <n v="5980"/>
    <d v="2025-12-24T00:00:00"/>
    <n v="1041"/>
    <s v="Nikhil Patel"/>
    <x v="3"/>
    <s v="Consumer"/>
    <x v="2"/>
    <x v="0"/>
    <n v="1"/>
    <n v="55000"/>
    <n v="0"/>
    <s v="Cash"/>
    <x v="8"/>
    <x v="1"/>
  </r>
  <r>
    <n v="5172"/>
    <d v="2025-02-26T00:00:00"/>
    <n v="1042"/>
    <s v="Sneha Das"/>
    <x v="2"/>
    <s v="Small Business"/>
    <x v="4"/>
    <x v="2"/>
    <n v="5"/>
    <n v="16000"/>
    <n v="0"/>
    <s v="Net Banking"/>
    <x v="26"/>
    <x v="3"/>
  </r>
  <r>
    <n v="5881"/>
    <d v="2025-11-22T00:00:00"/>
    <n v="1042"/>
    <s v="Sneha Das"/>
    <x v="1"/>
    <s v="Small Business"/>
    <x v="2"/>
    <x v="0"/>
    <n v="5"/>
    <n v="55000"/>
    <n v="0"/>
    <s v="Debit Card"/>
    <x v="144"/>
    <x v="10"/>
  </r>
  <r>
    <n v="5433"/>
    <d v="2025-06-15T00:00:00"/>
    <n v="1042"/>
    <s v="Sneha Das"/>
    <x v="2"/>
    <s v="Small Business"/>
    <x v="9"/>
    <x v="2"/>
    <n v="4"/>
    <n v="7500"/>
    <n v="5"/>
    <s v="Credit Card"/>
    <x v="50"/>
    <x v="5"/>
  </r>
  <r>
    <n v="5247"/>
    <d v="2025-03-31T00:00:00"/>
    <n v="1042"/>
    <s v="Sneha Das"/>
    <x v="2"/>
    <s v="Small Business"/>
    <x v="3"/>
    <x v="1"/>
    <n v="3"/>
    <n v="350"/>
    <n v="15"/>
    <s v="Cash"/>
    <x v="165"/>
    <x v="4"/>
  </r>
  <r>
    <n v="5314"/>
    <d v="2025-04-26T00:00:00"/>
    <n v="1042"/>
    <s v="Sneha Das"/>
    <x v="2"/>
    <s v="Small Business"/>
    <x v="1"/>
    <x v="0"/>
    <n v="3"/>
    <n v="2500"/>
    <n v="5"/>
    <s v="Cash"/>
    <x v="74"/>
    <x v="0"/>
  </r>
  <r>
    <n v="5967"/>
    <d v="2025-12-20T00:00:00"/>
    <n v="1042"/>
    <s v="Sneha Das"/>
    <x v="2"/>
    <s v="Small Business"/>
    <x v="1"/>
    <x v="0"/>
    <n v="3"/>
    <n v="2500"/>
    <n v="0"/>
    <s v="UPI"/>
    <x v="2"/>
    <x v="1"/>
  </r>
  <r>
    <n v="5956"/>
    <d v="2025-12-17T00:00:00"/>
    <n v="1042"/>
    <s v="Sneha Das"/>
    <x v="2"/>
    <s v="Small Business"/>
    <x v="8"/>
    <x v="1"/>
    <n v="2"/>
    <n v="200"/>
    <n v="0"/>
    <s v="Debit Card"/>
    <x v="24"/>
    <x v="1"/>
  </r>
  <r>
    <n v="5003"/>
    <d v="2025-01-02T00:00:00"/>
    <n v="1042"/>
    <s v="Sneha Das"/>
    <x v="2"/>
    <s v="Small Business"/>
    <x v="5"/>
    <x v="0"/>
    <n v="1"/>
    <n v="22000"/>
    <n v="10"/>
    <s v="Net Banking"/>
    <x v="123"/>
    <x v="9"/>
  </r>
  <r>
    <n v="5480"/>
    <d v="2025-07-03T00:00:00"/>
    <n v="1042"/>
    <s v="Sneha Das"/>
    <x v="2"/>
    <s v="Small Business"/>
    <x v="9"/>
    <x v="2"/>
    <n v="1"/>
    <n v="7500"/>
    <n v="15"/>
    <s v="Credit Card"/>
    <x v="132"/>
    <x v="2"/>
  </r>
  <r>
    <n v="5775"/>
    <d v="2025-10-17T00:00:00"/>
    <n v="1042"/>
    <s v="Sneha Das"/>
    <x v="2"/>
    <s v="Small Business"/>
    <x v="1"/>
    <x v="0"/>
    <n v="1"/>
    <n v="2500"/>
    <n v="0"/>
    <s v="Net Banking"/>
    <x v="12"/>
    <x v="11"/>
  </r>
  <r>
    <n v="5836"/>
    <d v="2025-11-05T00:00:00"/>
    <n v="1042"/>
    <s v="Sneha Das"/>
    <x v="2"/>
    <s v="Small Business"/>
    <x v="7"/>
    <x v="0"/>
    <n v="1"/>
    <n v="12000"/>
    <n v="5"/>
    <s v="Cash"/>
    <x v="129"/>
    <x v="10"/>
  </r>
  <r>
    <n v="5911"/>
    <d v="2025-12-04T00:00:00"/>
    <n v="1042"/>
    <s v="Sneha Das"/>
    <x v="2"/>
    <s v="Small Business"/>
    <x v="7"/>
    <x v="0"/>
    <n v="1"/>
    <n v="12000"/>
    <n v="5"/>
    <s v="Cash"/>
    <x v="129"/>
    <x v="1"/>
  </r>
  <r>
    <n v="5017"/>
    <d v="2025-01-05T00:00:00"/>
    <n v="1043"/>
    <s v="Manoj Singh"/>
    <x v="1"/>
    <s v="Corporate"/>
    <x v="6"/>
    <x v="2"/>
    <n v="5"/>
    <n v="900"/>
    <n v="0"/>
    <s v="Cash"/>
    <x v="82"/>
    <x v="9"/>
  </r>
  <r>
    <n v="5239"/>
    <d v="2025-03-29T00:00:00"/>
    <n v="1043"/>
    <s v="Manoj Singh"/>
    <x v="0"/>
    <s v="Corporate"/>
    <x v="7"/>
    <x v="0"/>
    <n v="5"/>
    <n v="12000"/>
    <n v="0"/>
    <s v="Credit Card"/>
    <x v="35"/>
    <x v="4"/>
  </r>
  <r>
    <n v="5855"/>
    <d v="2025-11-10T00:00:00"/>
    <n v="1043"/>
    <s v="Manoj Singh"/>
    <x v="0"/>
    <s v="Corporate"/>
    <x v="5"/>
    <x v="0"/>
    <n v="5"/>
    <n v="22000"/>
    <n v="5"/>
    <s v="Debit Card"/>
    <x v="168"/>
    <x v="10"/>
  </r>
  <r>
    <n v="5995"/>
    <d v="2025-12-30T00:00:00"/>
    <n v="1043"/>
    <s v="Manoj Singh"/>
    <x v="0"/>
    <s v="Corporate"/>
    <x v="1"/>
    <x v="0"/>
    <n v="5"/>
    <n v="2500"/>
    <n v="0"/>
    <s v="UPI"/>
    <x v="16"/>
    <x v="1"/>
  </r>
  <r>
    <n v="5222"/>
    <d v="2025-03-24T00:00:00"/>
    <n v="1043"/>
    <s v="Manoj Singh"/>
    <x v="0"/>
    <s v="Corporate"/>
    <x v="7"/>
    <x v="0"/>
    <n v="4"/>
    <n v="12000"/>
    <n v="0"/>
    <s v="Net Banking"/>
    <x v="67"/>
    <x v="4"/>
  </r>
  <r>
    <n v="5295"/>
    <d v="2025-04-20T00:00:00"/>
    <n v="1043"/>
    <s v="Manoj Singh"/>
    <x v="0"/>
    <s v="Corporate"/>
    <x v="1"/>
    <x v="0"/>
    <n v="4"/>
    <n v="2500"/>
    <n v="0"/>
    <s v="Debit Card"/>
    <x v="40"/>
    <x v="0"/>
  </r>
  <r>
    <n v="5300"/>
    <d v="2025-04-22T00:00:00"/>
    <n v="1043"/>
    <s v="Manoj Singh"/>
    <x v="1"/>
    <s v="Corporate"/>
    <x v="1"/>
    <x v="0"/>
    <n v="4"/>
    <n v="2500"/>
    <n v="10"/>
    <s v="Credit Card"/>
    <x v="138"/>
    <x v="0"/>
  </r>
  <r>
    <n v="5841"/>
    <d v="2025-11-06T00:00:00"/>
    <n v="1043"/>
    <s v="Manoj Singh"/>
    <x v="1"/>
    <s v="Corporate"/>
    <x v="5"/>
    <x v="0"/>
    <n v="2"/>
    <n v="22000"/>
    <n v="5"/>
    <s v="Cash"/>
    <x v="146"/>
    <x v="10"/>
  </r>
  <r>
    <n v="5945"/>
    <d v="2025-12-14T00:00:00"/>
    <n v="1043"/>
    <s v="Manoj Singh"/>
    <x v="0"/>
    <s v="Corporate"/>
    <x v="7"/>
    <x v="0"/>
    <n v="2"/>
    <n v="12000"/>
    <n v="0"/>
    <s v="Debit Card"/>
    <x v="1"/>
    <x v="1"/>
  </r>
  <r>
    <n v="5048"/>
    <d v="2025-01-17T00:00:00"/>
    <n v="1043"/>
    <s v="Manoj Singh"/>
    <x v="0"/>
    <s v="Corporate"/>
    <x v="8"/>
    <x v="1"/>
    <n v="1"/>
    <n v="200"/>
    <n v="0"/>
    <s v="Credit Card"/>
    <x v="75"/>
    <x v="9"/>
  </r>
  <r>
    <n v="5594"/>
    <d v="2025-08-13T00:00:00"/>
    <n v="1043"/>
    <s v="Manoj Singh"/>
    <x v="0"/>
    <s v="Corporate"/>
    <x v="7"/>
    <x v="0"/>
    <n v="1"/>
    <n v="12000"/>
    <n v="0"/>
    <s v="Credit Card"/>
    <x v="25"/>
    <x v="6"/>
  </r>
  <r>
    <n v="5755"/>
    <d v="2025-10-09T00:00:00"/>
    <n v="1043"/>
    <s v="Manoj Singh"/>
    <x v="0"/>
    <s v="Corporate"/>
    <x v="3"/>
    <x v="1"/>
    <n v="1"/>
    <n v="350"/>
    <n v="10"/>
    <s v="Cash"/>
    <x v="76"/>
    <x v="11"/>
  </r>
  <r>
    <n v="5820"/>
    <d v="2025-11-01T00:00:00"/>
    <n v="1043"/>
    <s v="Manoj Singh"/>
    <x v="0"/>
    <s v="Corporate"/>
    <x v="3"/>
    <x v="1"/>
    <n v="1"/>
    <n v="350"/>
    <n v="15"/>
    <s v="Net Banking"/>
    <x v="154"/>
    <x v="10"/>
  </r>
  <r>
    <n v="5341"/>
    <d v="2025-05-07T00:00:00"/>
    <n v="1044"/>
    <s v="Diya Khan"/>
    <x v="0"/>
    <s v="Consumer"/>
    <x v="5"/>
    <x v="0"/>
    <n v="5"/>
    <n v="22000"/>
    <n v="10"/>
    <s v="Cash"/>
    <x v="34"/>
    <x v="8"/>
  </r>
  <r>
    <n v="5375"/>
    <d v="2025-05-24T00:00:00"/>
    <n v="1044"/>
    <s v="Diya Khan"/>
    <x v="0"/>
    <s v="Consumer"/>
    <x v="8"/>
    <x v="1"/>
    <n v="5"/>
    <n v="200"/>
    <n v="0"/>
    <s v="Net Banking"/>
    <x v="15"/>
    <x v="8"/>
  </r>
  <r>
    <n v="5787"/>
    <d v="2025-10-20T00:00:00"/>
    <n v="1044"/>
    <s v="Diya Khan"/>
    <x v="0"/>
    <s v="Consumer"/>
    <x v="4"/>
    <x v="2"/>
    <n v="5"/>
    <n v="16000"/>
    <n v="0"/>
    <s v="Cash"/>
    <x v="26"/>
    <x v="11"/>
  </r>
  <r>
    <n v="5579"/>
    <d v="2025-08-07T00:00:00"/>
    <n v="1044"/>
    <s v="Diya Khan"/>
    <x v="0"/>
    <s v="Consumer"/>
    <x v="2"/>
    <x v="0"/>
    <n v="4"/>
    <n v="55000"/>
    <n v="5"/>
    <s v="Cash"/>
    <x v="108"/>
    <x v="6"/>
  </r>
  <r>
    <n v="5603"/>
    <d v="2025-08-15T00:00:00"/>
    <n v="1044"/>
    <s v="Diya Khan"/>
    <x v="0"/>
    <s v="Consumer"/>
    <x v="7"/>
    <x v="0"/>
    <n v="4"/>
    <n v="12000"/>
    <n v="0"/>
    <s v="Credit Card"/>
    <x v="67"/>
    <x v="6"/>
  </r>
  <r>
    <n v="5719"/>
    <d v="2025-09-27T00:00:00"/>
    <n v="1044"/>
    <s v="Diya Khan"/>
    <x v="0"/>
    <s v="Consumer"/>
    <x v="3"/>
    <x v="1"/>
    <n v="4"/>
    <n v="350"/>
    <n v="0"/>
    <s v="Credit Card"/>
    <x v="28"/>
    <x v="7"/>
  </r>
  <r>
    <n v="5764"/>
    <d v="2025-10-12T00:00:00"/>
    <n v="1044"/>
    <s v="Diya Khan"/>
    <x v="0"/>
    <s v="Consumer"/>
    <x v="3"/>
    <x v="1"/>
    <n v="4"/>
    <n v="350"/>
    <n v="0"/>
    <s v="Credit Card"/>
    <x v="28"/>
    <x v="11"/>
  </r>
  <r>
    <n v="5968"/>
    <d v="2025-12-20T00:00:00"/>
    <n v="1044"/>
    <s v="Diya Khan"/>
    <x v="0"/>
    <s v="Consumer"/>
    <x v="2"/>
    <x v="0"/>
    <n v="4"/>
    <n v="55000"/>
    <n v="0"/>
    <s v="Debit Card"/>
    <x v="38"/>
    <x v="1"/>
  </r>
  <r>
    <n v="5370"/>
    <d v="2025-05-21T00:00:00"/>
    <n v="1044"/>
    <s v="Diya Khan"/>
    <x v="0"/>
    <s v="Consumer"/>
    <x v="1"/>
    <x v="0"/>
    <n v="3"/>
    <n v="2500"/>
    <n v="0"/>
    <s v="Credit Card"/>
    <x v="2"/>
    <x v="8"/>
  </r>
  <r>
    <n v="5718"/>
    <d v="2025-09-27T00:00:00"/>
    <n v="1044"/>
    <s v="Diya Khan"/>
    <x v="0"/>
    <s v="Consumer"/>
    <x v="1"/>
    <x v="0"/>
    <n v="3"/>
    <n v="2500"/>
    <n v="5"/>
    <s v="UPI"/>
    <x v="74"/>
    <x v="7"/>
  </r>
  <r>
    <n v="5767"/>
    <d v="2025-10-13T00:00:00"/>
    <n v="1044"/>
    <s v="Diya Khan"/>
    <x v="0"/>
    <s v="Consumer"/>
    <x v="8"/>
    <x v="1"/>
    <n v="3"/>
    <n v="200"/>
    <n v="5"/>
    <s v="Credit Card"/>
    <x v="170"/>
    <x v="11"/>
  </r>
  <r>
    <n v="5032"/>
    <d v="2025-01-11T00:00:00"/>
    <n v="1044"/>
    <s v="Diya Khan"/>
    <x v="0"/>
    <s v="Consumer"/>
    <x v="5"/>
    <x v="0"/>
    <n v="2"/>
    <n v="22000"/>
    <n v="10"/>
    <s v="Debit Card"/>
    <x v="97"/>
    <x v="9"/>
  </r>
  <r>
    <n v="5450"/>
    <d v="2025-06-21T00:00:00"/>
    <n v="1044"/>
    <s v="Diya Khan"/>
    <x v="0"/>
    <s v="Consumer"/>
    <x v="1"/>
    <x v="0"/>
    <n v="2"/>
    <n v="2500"/>
    <n v="0"/>
    <s v="Net Banking"/>
    <x v="7"/>
    <x v="5"/>
  </r>
  <r>
    <n v="5831"/>
    <d v="2025-11-03T00:00:00"/>
    <n v="1044"/>
    <s v="Diya Khan"/>
    <x v="0"/>
    <s v="Consumer"/>
    <x v="11"/>
    <x v="0"/>
    <n v="2"/>
    <n v="9500"/>
    <n v="0"/>
    <s v="UPI"/>
    <x v="122"/>
    <x v="10"/>
  </r>
  <r>
    <n v="5298"/>
    <d v="2025-04-21T00:00:00"/>
    <n v="1044"/>
    <s v="Diya Khan"/>
    <x v="0"/>
    <s v="Consumer"/>
    <x v="3"/>
    <x v="1"/>
    <n v="1"/>
    <n v="350"/>
    <n v="10"/>
    <s v="Debit Card"/>
    <x v="76"/>
    <x v="0"/>
  </r>
  <r>
    <n v="5424"/>
    <d v="2025-06-12T00:00:00"/>
    <n v="1044"/>
    <s v="Diya Khan"/>
    <x v="0"/>
    <s v="Consumer"/>
    <x v="6"/>
    <x v="2"/>
    <n v="1"/>
    <n v="900"/>
    <n v="5"/>
    <s v="UPI"/>
    <x v="11"/>
    <x v="5"/>
  </r>
  <r>
    <n v="5302"/>
    <d v="2025-04-22T00:00:00"/>
    <n v="1045"/>
    <s v="Kavya Das"/>
    <x v="0"/>
    <s v="Corporate"/>
    <x v="3"/>
    <x v="1"/>
    <n v="5"/>
    <n v="350"/>
    <n v="10"/>
    <s v="UPI"/>
    <x v="96"/>
    <x v="0"/>
  </r>
  <r>
    <n v="5422"/>
    <d v="2025-06-11T00:00:00"/>
    <n v="1045"/>
    <s v="Kavya Das"/>
    <x v="0"/>
    <s v="Corporate"/>
    <x v="3"/>
    <x v="1"/>
    <n v="5"/>
    <n v="350"/>
    <n v="15"/>
    <s v="Debit Card"/>
    <x v="148"/>
    <x v="5"/>
  </r>
  <r>
    <n v="5757"/>
    <d v="2025-10-10T00:00:00"/>
    <n v="1045"/>
    <s v="Kavya Das"/>
    <x v="0"/>
    <s v="Corporate"/>
    <x v="9"/>
    <x v="2"/>
    <n v="5"/>
    <n v="7500"/>
    <n v="0"/>
    <s v="Cash"/>
    <x v="27"/>
    <x v="11"/>
  </r>
  <r>
    <n v="5758"/>
    <d v="2025-10-11T00:00:00"/>
    <n v="1045"/>
    <s v="Kavya Das"/>
    <x v="0"/>
    <s v="Corporate"/>
    <x v="5"/>
    <x v="0"/>
    <n v="5"/>
    <n v="22000"/>
    <n v="0"/>
    <s v="Debit Card"/>
    <x v="49"/>
    <x v="11"/>
  </r>
  <r>
    <n v="5049"/>
    <d v="2025-01-17T00:00:00"/>
    <n v="1045"/>
    <s v="Kavya Das"/>
    <x v="0"/>
    <s v="Corporate"/>
    <x v="1"/>
    <x v="0"/>
    <n v="4"/>
    <n v="2500"/>
    <n v="0"/>
    <s v="Net Banking"/>
    <x v="40"/>
    <x v="9"/>
  </r>
  <r>
    <n v="5291"/>
    <d v="2025-04-19T00:00:00"/>
    <n v="1045"/>
    <s v="Kavya Das"/>
    <x v="0"/>
    <s v="Corporate"/>
    <x v="1"/>
    <x v="0"/>
    <n v="4"/>
    <n v="2500"/>
    <n v="15"/>
    <s v="UPI"/>
    <x v="60"/>
    <x v="0"/>
  </r>
  <r>
    <n v="5545"/>
    <d v="2025-07-22T00:00:00"/>
    <n v="1045"/>
    <s v="Kavya Das"/>
    <x v="0"/>
    <s v="Corporate"/>
    <x v="8"/>
    <x v="1"/>
    <n v="4"/>
    <n v="200"/>
    <n v="5"/>
    <s v="UPI"/>
    <x v="20"/>
    <x v="2"/>
  </r>
  <r>
    <n v="5560"/>
    <d v="2025-07-30T00:00:00"/>
    <n v="1045"/>
    <s v="Kavya Das"/>
    <x v="0"/>
    <s v="Corporate"/>
    <x v="1"/>
    <x v="0"/>
    <n v="4"/>
    <n v="2500"/>
    <n v="0"/>
    <s v="Net Banking"/>
    <x v="40"/>
    <x v="2"/>
  </r>
  <r>
    <n v="5599"/>
    <d v="2025-08-13T00:00:00"/>
    <n v="1045"/>
    <s v="Kavya Das"/>
    <x v="0"/>
    <s v="Corporate"/>
    <x v="4"/>
    <x v="2"/>
    <n v="4"/>
    <n v="16000"/>
    <n v="10"/>
    <s v="Net Banking"/>
    <x v="171"/>
    <x v="6"/>
  </r>
  <r>
    <n v="5994"/>
    <d v="2025-12-30T00:00:00"/>
    <n v="1045"/>
    <s v="Kavya Das"/>
    <x v="0"/>
    <s v="Corporate"/>
    <x v="6"/>
    <x v="2"/>
    <n v="4"/>
    <n v="900"/>
    <n v="0"/>
    <s v="UPI"/>
    <x v="85"/>
    <x v="1"/>
  </r>
  <r>
    <n v="5149"/>
    <d v="2025-02-21T00:00:00"/>
    <n v="1045"/>
    <s v="Kavya Das"/>
    <x v="0"/>
    <s v="Corporate"/>
    <x v="8"/>
    <x v="1"/>
    <n v="3"/>
    <n v="200"/>
    <n v="5"/>
    <s v="Cash"/>
    <x v="170"/>
    <x v="3"/>
  </r>
  <r>
    <n v="5273"/>
    <d v="2025-04-12T00:00:00"/>
    <n v="1045"/>
    <s v="Kavya Das"/>
    <x v="0"/>
    <s v="Corporate"/>
    <x v="9"/>
    <x v="2"/>
    <n v="3"/>
    <n v="7500"/>
    <n v="0"/>
    <s v="UPI"/>
    <x v="52"/>
    <x v="0"/>
  </r>
  <r>
    <n v="5414"/>
    <d v="2025-06-08T00:00:00"/>
    <n v="1045"/>
    <s v="Kavya Das"/>
    <x v="0"/>
    <s v="Corporate"/>
    <x v="7"/>
    <x v="0"/>
    <n v="3"/>
    <n v="12000"/>
    <n v="10"/>
    <s v="Net Banking"/>
    <x v="140"/>
    <x v="5"/>
  </r>
  <r>
    <n v="5442"/>
    <d v="2025-06-18T00:00:00"/>
    <n v="1045"/>
    <s v="Kavya Das"/>
    <x v="0"/>
    <s v="Corporate"/>
    <x v="5"/>
    <x v="0"/>
    <n v="3"/>
    <n v="22000"/>
    <n v="15"/>
    <s v="Credit Card"/>
    <x v="139"/>
    <x v="5"/>
  </r>
  <r>
    <n v="5744"/>
    <d v="2025-10-06T00:00:00"/>
    <n v="1045"/>
    <s v="Kavya Das"/>
    <x v="0"/>
    <s v="Corporate"/>
    <x v="2"/>
    <x v="0"/>
    <n v="3"/>
    <n v="55000"/>
    <n v="0"/>
    <s v="UPI"/>
    <x v="23"/>
    <x v="11"/>
  </r>
  <r>
    <n v="5872"/>
    <d v="2025-11-17T00:00:00"/>
    <n v="1045"/>
    <s v="Kavya Das"/>
    <x v="0"/>
    <s v="Corporate"/>
    <x v="5"/>
    <x v="0"/>
    <n v="3"/>
    <n v="22000"/>
    <n v="10"/>
    <s v="Net Banking"/>
    <x v="172"/>
    <x v="10"/>
  </r>
  <r>
    <n v="5743"/>
    <d v="2025-10-06T00:00:00"/>
    <n v="1045"/>
    <s v="Kavya Das"/>
    <x v="0"/>
    <s v="Corporate"/>
    <x v="3"/>
    <x v="1"/>
    <n v="2"/>
    <n v="350"/>
    <n v="15"/>
    <s v="Net Banking"/>
    <x v="79"/>
    <x v="11"/>
  </r>
  <r>
    <n v="5815"/>
    <d v="2025-10-30T00:00:00"/>
    <n v="1045"/>
    <s v="Kavya Das"/>
    <x v="0"/>
    <s v="Corporate"/>
    <x v="8"/>
    <x v="1"/>
    <n v="2"/>
    <n v="200"/>
    <n v="10"/>
    <s v="Credit Card"/>
    <x v="101"/>
    <x v="11"/>
  </r>
  <r>
    <n v="5094"/>
    <d v="2025-02-04T00:00:00"/>
    <n v="1045"/>
    <s v="Kavya Das"/>
    <x v="0"/>
    <s v="Corporate"/>
    <x v="5"/>
    <x v="0"/>
    <n v="1"/>
    <n v="22000"/>
    <n v="10"/>
    <s v="Credit Card"/>
    <x v="123"/>
    <x v="3"/>
  </r>
  <r>
    <n v="5213"/>
    <d v="2025-03-15T00:00:00"/>
    <n v="1045"/>
    <s v="Kavya Das"/>
    <x v="0"/>
    <s v="Corporate"/>
    <x v="3"/>
    <x v="1"/>
    <n v="1"/>
    <n v="350"/>
    <n v="0"/>
    <s v="Debit Card"/>
    <x v="93"/>
    <x v="4"/>
  </r>
  <r>
    <n v="5561"/>
    <d v="2025-07-31T00:00:00"/>
    <n v="1045"/>
    <s v="Kavya Das"/>
    <x v="0"/>
    <s v="Corporate"/>
    <x v="6"/>
    <x v="2"/>
    <n v="1"/>
    <n v="900"/>
    <n v="0"/>
    <s v="Cash"/>
    <x v="44"/>
    <x v="2"/>
  </r>
  <r>
    <n v="5666"/>
    <d v="2025-09-08T00:00:00"/>
    <n v="1045"/>
    <s v="Kavya Das"/>
    <x v="1"/>
    <s v="Corporate"/>
    <x v="3"/>
    <x v="1"/>
    <n v="1"/>
    <n v="350"/>
    <n v="0"/>
    <s v="Debit Card"/>
    <x v="93"/>
    <x v="7"/>
  </r>
  <r>
    <n v="5825"/>
    <d v="2025-11-02T00:00:00"/>
    <n v="1045"/>
    <s v="Kavya Das"/>
    <x v="0"/>
    <s v="Corporate"/>
    <x v="10"/>
    <x v="0"/>
    <n v="1"/>
    <n v="18000"/>
    <n v="5"/>
    <s v="Cash"/>
    <x v="30"/>
    <x v="10"/>
  </r>
  <r>
    <n v="5374"/>
    <d v="2025-05-24T00:00:00"/>
    <n v="1046"/>
    <s v="Arjun Das"/>
    <x v="3"/>
    <s v="Consumer"/>
    <x v="6"/>
    <x v="2"/>
    <n v="5"/>
    <n v="900"/>
    <n v="5"/>
    <s v="Cash"/>
    <x v="151"/>
    <x v="8"/>
  </r>
  <r>
    <n v="5799"/>
    <d v="2025-10-23T00:00:00"/>
    <n v="1046"/>
    <s v="Arjun Das"/>
    <x v="3"/>
    <s v="Consumer"/>
    <x v="2"/>
    <x v="0"/>
    <n v="5"/>
    <n v="55000"/>
    <n v="0"/>
    <s v="UPI"/>
    <x v="144"/>
    <x v="11"/>
  </r>
  <r>
    <n v="5695"/>
    <d v="2025-09-21T00:00:00"/>
    <n v="1046"/>
    <s v="Arjun Das"/>
    <x v="3"/>
    <s v="Consumer"/>
    <x v="10"/>
    <x v="0"/>
    <n v="4"/>
    <n v="18000"/>
    <n v="0"/>
    <s v="Net Banking"/>
    <x v="46"/>
    <x v="7"/>
  </r>
  <r>
    <n v="5807"/>
    <d v="2025-10-28T00:00:00"/>
    <n v="1046"/>
    <s v="Arjun Das"/>
    <x v="3"/>
    <s v="Consumer"/>
    <x v="3"/>
    <x v="1"/>
    <n v="4"/>
    <n v="350"/>
    <n v="15"/>
    <s v="Debit Card"/>
    <x v="173"/>
    <x v="11"/>
  </r>
  <r>
    <n v="5981"/>
    <d v="2025-12-24T00:00:00"/>
    <n v="1046"/>
    <s v="Arjun Das"/>
    <x v="3"/>
    <s v="Consumer"/>
    <x v="1"/>
    <x v="0"/>
    <n v="4"/>
    <n v="2500"/>
    <n v="0"/>
    <s v="Cash"/>
    <x v="40"/>
    <x v="1"/>
  </r>
  <r>
    <n v="5490"/>
    <d v="2025-07-05T00:00:00"/>
    <n v="1046"/>
    <s v="Arjun Das"/>
    <x v="3"/>
    <s v="Consumer"/>
    <x v="8"/>
    <x v="1"/>
    <n v="3"/>
    <n v="200"/>
    <n v="0"/>
    <s v="Net Banking"/>
    <x v="42"/>
    <x v="2"/>
  </r>
  <r>
    <n v="5684"/>
    <d v="2025-09-16T00:00:00"/>
    <n v="1046"/>
    <s v="Arjun Das"/>
    <x v="3"/>
    <s v="Consumer"/>
    <x v="10"/>
    <x v="0"/>
    <n v="3"/>
    <n v="18000"/>
    <n v="0"/>
    <s v="Debit Card"/>
    <x v="45"/>
    <x v="7"/>
  </r>
  <r>
    <n v="5001"/>
    <d v="2025-01-02T00:00:00"/>
    <n v="1046"/>
    <s v="Arjun Das"/>
    <x v="3"/>
    <s v="Consumer"/>
    <x v="10"/>
    <x v="0"/>
    <n v="2"/>
    <n v="18000"/>
    <n v="15"/>
    <s v="Cash"/>
    <x v="112"/>
    <x v="9"/>
  </r>
  <r>
    <n v="5367"/>
    <d v="2025-05-20T00:00:00"/>
    <n v="1046"/>
    <s v="Arjun Das"/>
    <x v="3"/>
    <s v="Consumer"/>
    <x v="5"/>
    <x v="0"/>
    <n v="2"/>
    <n v="22000"/>
    <n v="15"/>
    <s v="Debit Card"/>
    <x v="174"/>
    <x v="8"/>
  </r>
  <r>
    <n v="5568"/>
    <d v="2025-08-03T00:00:00"/>
    <n v="1046"/>
    <s v="Arjun Das"/>
    <x v="3"/>
    <s v="Consumer"/>
    <x v="3"/>
    <x v="1"/>
    <n v="2"/>
    <n v="350"/>
    <n v="0"/>
    <s v="UPI"/>
    <x v="6"/>
    <x v="6"/>
  </r>
  <r>
    <n v="5749"/>
    <d v="2025-10-08T00:00:00"/>
    <n v="1046"/>
    <s v="Arjun Das"/>
    <x v="3"/>
    <s v="Consumer"/>
    <x v="5"/>
    <x v="0"/>
    <n v="2"/>
    <n v="22000"/>
    <n v="5"/>
    <s v="Cash"/>
    <x v="146"/>
    <x v="11"/>
  </r>
  <r>
    <n v="5874"/>
    <d v="2025-11-18T00:00:00"/>
    <n v="1046"/>
    <s v="Arjun Das"/>
    <x v="3"/>
    <s v="Consumer"/>
    <x v="1"/>
    <x v="0"/>
    <n v="2"/>
    <n v="2500"/>
    <n v="0"/>
    <s v="Debit Card"/>
    <x v="7"/>
    <x v="10"/>
  </r>
  <r>
    <n v="5371"/>
    <d v="2025-05-22T00:00:00"/>
    <n v="1046"/>
    <s v="Arjun Das"/>
    <x v="3"/>
    <s v="Consumer"/>
    <x v="1"/>
    <x v="0"/>
    <n v="1"/>
    <n v="2500"/>
    <n v="0"/>
    <s v="UPI"/>
    <x v="12"/>
    <x v="8"/>
  </r>
  <r>
    <n v="5876"/>
    <d v="2025-11-20T00:00:00"/>
    <n v="1046"/>
    <s v="Arjun Das"/>
    <x v="3"/>
    <s v="Consumer"/>
    <x v="0"/>
    <x v="0"/>
    <n v="1"/>
    <n v="6000"/>
    <n v="0"/>
    <s v="Cash"/>
    <x v="98"/>
    <x v="10"/>
  </r>
  <r>
    <n v="5169"/>
    <d v="2025-02-26T00:00:00"/>
    <n v="1047"/>
    <s v="Imran Patel"/>
    <x v="0"/>
    <s v="Small Business"/>
    <x v="8"/>
    <x v="1"/>
    <n v="5"/>
    <n v="200"/>
    <n v="0"/>
    <s v="Net Banking"/>
    <x v="15"/>
    <x v="3"/>
  </r>
  <r>
    <n v="5258"/>
    <d v="2025-04-04T00:00:00"/>
    <n v="1047"/>
    <s v="Imran Patel"/>
    <x v="0"/>
    <s v="Small Business"/>
    <x v="5"/>
    <x v="0"/>
    <n v="5"/>
    <n v="22000"/>
    <n v="0"/>
    <s v="Cash"/>
    <x v="49"/>
    <x v="0"/>
  </r>
  <r>
    <n v="5431"/>
    <d v="2025-06-15T00:00:00"/>
    <n v="1047"/>
    <s v="Imran Patel"/>
    <x v="0"/>
    <s v="Small Business"/>
    <x v="7"/>
    <x v="0"/>
    <n v="5"/>
    <n v="12000"/>
    <n v="0"/>
    <s v="Debit Card"/>
    <x v="35"/>
    <x v="5"/>
  </r>
  <r>
    <n v="5821"/>
    <d v="2025-11-01T00:00:00"/>
    <n v="1047"/>
    <s v="Imran Patel"/>
    <x v="0"/>
    <s v="Small Business"/>
    <x v="1"/>
    <x v="0"/>
    <n v="5"/>
    <n v="2500"/>
    <n v="0"/>
    <s v="Debit Card"/>
    <x v="16"/>
    <x v="10"/>
  </r>
  <r>
    <n v="5039"/>
    <d v="2025-01-14T00:00:00"/>
    <n v="1047"/>
    <s v="Imran Patel"/>
    <x v="0"/>
    <s v="Small Business"/>
    <x v="10"/>
    <x v="0"/>
    <n v="4"/>
    <n v="18000"/>
    <n v="0"/>
    <s v="UPI"/>
    <x v="46"/>
    <x v="9"/>
  </r>
  <r>
    <n v="5570"/>
    <d v="2025-08-04T00:00:00"/>
    <n v="1047"/>
    <s v="Imran Patel"/>
    <x v="0"/>
    <s v="Small Business"/>
    <x v="6"/>
    <x v="2"/>
    <n v="4"/>
    <n v="900"/>
    <n v="0"/>
    <s v="Debit Card"/>
    <x v="85"/>
    <x v="6"/>
  </r>
  <r>
    <n v="5614"/>
    <d v="2025-08-20T00:00:00"/>
    <n v="1047"/>
    <s v="Imran Patel"/>
    <x v="0"/>
    <s v="Small Business"/>
    <x v="5"/>
    <x v="0"/>
    <n v="4"/>
    <n v="22000"/>
    <n v="0"/>
    <s v="Net Banking"/>
    <x v="19"/>
    <x v="6"/>
  </r>
  <r>
    <n v="5426"/>
    <d v="2025-06-12T00:00:00"/>
    <n v="1047"/>
    <s v="Imran Patel"/>
    <x v="0"/>
    <s v="Small Business"/>
    <x v="1"/>
    <x v="0"/>
    <n v="3"/>
    <n v="2500"/>
    <n v="15"/>
    <s v="Cash"/>
    <x v="132"/>
    <x v="5"/>
  </r>
  <r>
    <n v="5525"/>
    <d v="2025-07-16T00:00:00"/>
    <n v="1047"/>
    <s v="Imran Patel"/>
    <x v="0"/>
    <s v="Small Business"/>
    <x v="6"/>
    <x v="2"/>
    <n v="3"/>
    <n v="900"/>
    <n v="5"/>
    <s v="Net Banking"/>
    <x v="127"/>
    <x v="2"/>
  </r>
  <r>
    <n v="5013"/>
    <d v="2025-01-04T00:00:00"/>
    <n v="1047"/>
    <s v="Imran Patel"/>
    <x v="0"/>
    <s v="Small Business"/>
    <x v="6"/>
    <x v="2"/>
    <n v="2"/>
    <n v="900"/>
    <n v="0"/>
    <s v="Debit Card"/>
    <x v="62"/>
    <x v="9"/>
  </r>
  <r>
    <n v="5141"/>
    <d v="2025-02-18T00:00:00"/>
    <n v="1047"/>
    <s v="Imran Patel"/>
    <x v="0"/>
    <s v="Small Business"/>
    <x v="4"/>
    <x v="2"/>
    <n v="2"/>
    <n v="16000"/>
    <n v="10"/>
    <s v="UPI"/>
    <x v="73"/>
    <x v="3"/>
  </r>
  <r>
    <n v="5198"/>
    <d v="2025-03-08T00:00:00"/>
    <n v="1047"/>
    <s v="Imran Patel"/>
    <x v="0"/>
    <s v="Small Business"/>
    <x v="0"/>
    <x v="0"/>
    <n v="2"/>
    <n v="6000"/>
    <n v="0"/>
    <s v="Credit Card"/>
    <x v="25"/>
    <x v="4"/>
  </r>
  <r>
    <n v="5475"/>
    <d v="2025-07-02T00:00:00"/>
    <n v="1047"/>
    <s v="Imran Patel"/>
    <x v="0"/>
    <s v="Small Business"/>
    <x v="0"/>
    <x v="0"/>
    <n v="2"/>
    <n v="6000"/>
    <n v="0"/>
    <s v="UPI"/>
    <x v="25"/>
    <x v="2"/>
  </r>
  <r>
    <n v="5311"/>
    <d v="2025-04-25T00:00:00"/>
    <n v="1047"/>
    <s v="Imran Patel"/>
    <x v="0"/>
    <s v="Small Business"/>
    <x v="6"/>
    <x v="2"/>
    <n v="1"/>
    <n v="900"/>
    <n v="10"/>
    <s v="UPI"/>
    <x v="175"/>
    <x v="0"/>
  </r>
  <r>
    <n v="5391"/>
    <d v="2025-06-01T00:00:00"/>
    <n v="1047"/>
    <s v="Imran Patel"/>
    <x v="0"/>
    <s v="Small Business"/>
    <x v="6"/>
    <x v="2"/>
    <n v="1"/>
    <n v="900"/>
    <n v="0"/>
    <s v="Net Banking"/>
    <x v="44"/>
    <x v="5"/>
  </r>
  <r>
    <n v="5796"/>
    <d v="2025-10-23T00:00:00"/>
    <n v="1047"/>
    <s v="Imran Patel"/>
    <x v="0"/>
    <s v="Small Business"/>
    <x v="7"/>
    <x v="0"/>
    <n v="1"/>
    <n v="12000"/>
    <n v="0"/>
    <s v="Credit Card"/>
    <x v="25"/>
    <x v="11"/>
  </r>
  <r>
    <n v="5912"/>
    <d v="2025-12-04T00:00:00"/>
    <n v="1047"/>
    <s v="Imran Patel"/>
    <x v="0"/>
    <s v="Small Business"/>
    <x v="1"/>
    <x v="0"/>
    <n v="1"/>
    <n v="2500"/>
    <n v="0"/>
    <s v="UPI"/>
    <x v="12"/>
    <x v="1"/>
  </r>
  <r>
    <n v="5130"/>
    <d v="2025-02-14T00:00:00"/>
    <n v="1048"/>
    <s v="Tara Khan"/>
    <x v="4"/>
    <s v="Consumer"/>
    <x v="3"/>
    <x v="1"/>
    <n v="5"/>
    <n v="350"/>
    <n v="0"/>
    <s v="Net Banking"/>
    <x v="13"/>
    <x v="3"/>
  </r>
  <r>
    <n v="5936"/>
    <d v="2025-12-12T00:00:00"/>
    <n v="1048"/>
    <s v="Tara Khan"/>
    <x v="4"/>
    <s v="Consumer"/>
    <x v="1"/>
    <x v="0"/>
    <n v="5"/>
    <n v="2500"/>
    <n v="10"/>
    <s v="Net Banking"/>
    <x v="99"/>
    <x v="1"/>
  </r>
  <r>
    <n v="5114"/>
    <d v="2025-02-11T00:00:00"/>
    <n v="1048"/>
    <s v="Tara Khan"/>
    <x v="4"/>
    <s v="Consumer"/>
    <x v="7"/>
    <x v="0"/>
    <n v="4"/>
    <n v="12000"/>
    <n v="0"/>
    <s v="Credit Card"/>
    <x v="67"/>
    <x v="3"/>
  </r>
  <r>
    <n v="5680"/>
    <d v="2025-09-14T00:00:00"/>
    <n v="1048"/>
    <s v="Tara Khan"/>
    <x v="4"/>
    <s v="Consumer"/>
    <x v="4"/>
    <x v="2"/>
    <n v="4"/>
    <n v="16000"/>
    <n v="0"/>
    <s v="Net Banking"/>
    <x v="18"/>
    <x v="7"/>
  </r>
  <r>
    <n v="5705"/>
    <d v="2025-09-24T00:00:00"/>
    <n v="1048"/>
    <s v="Tara Khan"/>
    <x v="4"/>
    <s v="Consumer"/>
    <x v="11"/>
    <x v="0"/>
    <n v="4"/>
    <n v="9500"/>
    <n v="0"/>
    <s v="Net Banking"/>
    <x v="59"/>
    <x v="7"/>
  </r>
  <r>
    <n v="5709"/>
    <d v="2025-09-25T00:00:00"/>
    <n v="1048"/>
    <s v="Tara Khan"/>
    <x v="1"/>
    <s v="Consumer"/>
    <x v="1"/>
    <x v="0"/>
    <n v="4"/>
    <n v="2500"/>
    <n v="5"/>
    <s v="Credit Card"/>
    <x v="80"/>
    <x v="7"/>
  </r>
  <r>
    <n v="5984"/>
    <d v="2025-12-26T00:00:00"/>
    <n v="1048"/>
    <s v="Tara Khan"/>
    <x v="4"/>
    <s v="Consumer"/>
    <x v="7"/>
    <x v="0"/>
    <n v="4"/>
    <n v="12000"/>
    <n v="0"/>
    <s v="Debit Card"/>
    <x v="67"/>
    <x v="1"/>
  </r>
  <r>
    <n v="5116"/>
    <d v="2025-02-12T00:00:00"/>
    <n v="1048"/>
    <s v="Tara Khan"/>
    <x v="4"/>
    <s v="Consumer"/>
    <x v="6"/>
    <x v="2"/>
    <n v="3"/>
    <n v="900"/>
    <n v="15"/>
    <s v="Cash"/>
    <x v="105"/>
    <x v="3"/>
  </r>
  <r>
    <n v="5436"/>
    <d v="2025-06-17T00:00:00"/>
    <n v="1048"/>
    <s v="Tara Khan"/>
    <x v="4"/>
    <s v="Consumer"/>
    <x v="7"/>
    <x v="0"/>
    <n v="3"/>
    <n v="12000"/>
    <n v="0"/>
    <s v="Credit Card"/>
    <x v="72"/>
    <x v="5"/>
  </r>
  <r>
    <n v="5906"/>
    <d v="2025-12-02T00:00:00"/>
    <n v="1048"/>
    <s v="Tara Khan"/>
    <x v="4"/>
    <s v="Consumer"/>
    <x v="4"/>
    <x v="2"/>
    <n v="3"/>
    <n v="16000"/>
    <n v="10"/>
    <s v="Debit Card"/>
    <x v="121"/>
    <x v="1"/>
  </r>
  <r>
    <n v="5317"/>
    <d v="2025-04-26T00:00:00"/>
    <n v="1048"/>
    <s v="Tara Khan"/>
    <x v="4"/>
    <s v="Consumer"/>
    <x v="9"/>
    <x v="2"/>
    <n v="2"/>
    <n v="7500"/>
    <n v="0"/>
    <s v="Cash"/>
    <x v="106"/>
    <x v="0"/>
  </r>
  <r>
    <n v="5161"/>
    <d v="2025-02-23T00:00:00"/>
    <n v="1048"/>
    <s v="Tara Khan"/>
    <x v="4"/>
    <s v="Consumer"/>
    <x v="0"/>
    <x v="0"/>
    <n v="1"/>
    <n v="6000"/>
    <n v="0"/>
    <s v="Debit Card"/>
    <x v="98"/>
    <x v="3"/>
  </r>
  <r>
    <n v="5278"/>
    <d v="2025-04-14T00:00:00"/>
    <n v="1048"/>
    <s v="Tara Khan"/>
    <x v="4"/>
    <s v="Consumer"/>
    <x v="5"/>
    <x v="0"/>
    <n v="1"/>
    <n v="22000"/>
    <n v="5"/>
    <s v="Credit Card"/>
    <x v="114"/>
    <x v="0"/>
  </r>
  <r>
    <n v="5384"/>
    <d v="2025-05-30T00:00:00"/>
    <n v="1048"/>
    <s v="Tara Khan"/>
    <x v="4"/>
    <s v="Consumer"/>
    <x v="8"/>
    <x v="1"/>
    <n v="1"/>
    <n v="200"/>
    <n v="0"/>
    <s v="Cash"/>
    <x v="75"/>
    <x v="8"/>
  </r>
  <r>
    <n v="5686"/>
    <d v="2025-09-17T00:00:00"/>
    <n v="1048"/>
    <s v="Tara Khan"/>
    <x v="4"/>
    <s v="Consumer"/>
    <x v="5"/>
    <x v="0"/>
    <n v="1"/>
    <n v="22000"/>
    <n v="0"/>
    <s v="UPI"/>
    <x v="10"/>
    <x v="7"/>
  </r>
  <r>
    <n v="5957"/>
    <d v="2025-12-17T00:00:00"/>
    <n v="1048"/>
    <s v="Tara Khan"/>
    <x v="4"/>
    <s v="Consumer"/>
    <x v="8"/>
    <x v="1"/>
    <n v="1"/>
    <n v="200"/>
    <n v="0"/>
    <s v="Debit Card"/>
    <x v="75"/>
    <x v="1"/>
  </r>
  <r>
    <n v="5034"/>
    <d v="2025-01-12T00:00:00"/>
    <n v="1049"/>
    <s v="Karthik Singh"/>
    <x v="0"/>
    <s v="Corporate"/>
    <x v="10"/>
    <x v="0"/>
    <n v="5"/>
    <n v="18000"/>
    <n v="5"/>
    <s v="Credit Card"/>
    <x v="149"/>
    <x v="9"/>
  </r>
  <r>
    <n v="5126"/>
    <d v="2025-02-13T00:00:00"/>
    <n v="1049"/>
    <s v="Karthik Singh"/>
    <x v="0"/>
    <s v="Corporate"/>
    <x v="1"/>
    <x v="0"/>
    <n v="5"/>
    <n v="2500"/>
    <n v="0"/>
    <s v="Net Banking"/>
    <x v="16"/>
    <x v="3"/>
  </r>
  <r>
    <n v="5274"/>
    <d v="2025-04-13T00:00:00"/>
    <n v="1049"/>
    <s v="Karthik Singh"/>
    <x v="0"/>
    <s v="Corporate"/>
    <x v="0"/>
    <x v="0"/>
    <n v="5"/>
    <n v="6000"/>
    <n v="5"/>
    <s v="Net Banking"/>
    <x v="50"/>
    <x v="0"/>
  </r>
  <r>
    <n v="5449"/>
    <d v="2025-06-21T00:00:00"/>
    <n v="1049"/>
    <s v="Karthik Singh"/>
    <x v="0"/>
    <s v="Corporate"/>
    <x v="6"/>
    <x v="2"/>
    <n v="5"/>
    <n v="900"/>
    <n v="0"/>
    <s v="Debit Card"/>
    <x v="82"/>
    <x v="5"/>
  </r>
  <r>
    <n v="5996"/>
    <d v="2025-12-30T00:00:00"/>
    <n v="1049"/>
    <s v="Karthik Singh"/>
    <x v="0"/>
    <s v="Corporate"/>
    <x v="7"/>
    <x v="0"/>
    <n v="4"/>
    <n v="12000"/>
    <n v="10"/>
    <s v="Cash"/>
    <x v="121"/>
    <x v="1"/>
  </r>
  <r>
    <n v="5896"/>
    <d v="2025-11-30T00:00:00"/>
    <n v="1049"/>
    <s v="Karthik Singh"/>
    <x v="0"/>
    <s v="Corporate"/>
    <x v="2"/>
    <x v="0"/>
    <n v="3"/>
    <n v="55000"/>
    <n v="0"/>
    <s v="Cash"/>
    <x v="23"/>
    <x v="10"/>
  </r>
  <r>
    <n v="5861"/>
    <d v="2025-11-12T00:00:00"/>
    <n v="1049"/>
    <s v="Karthik Singh"/>
    <x v="0"/>
    <s v="Corporate"/>
    <x v="2"/>
    <x v="0"/>
    <n v="2"/>
    <n v="55000"/>
    <n v="15"/>
    <s v="UPI"/>
    <x v="77"/>
    <x v="10"/>
  </r>
  <r>
    <n v="5235"/>
    <d v="2025-03-28T00:00:00"/>
    <n v="1049"/>
    <s v="Karthik Singh"/>
    <x v="0"/>
    <s v="Corporate"/>
    <x v="7"/>
    <x v="0"/>
    <n v="1"/>
    <n v="12000"/>
    <n v="0"/>
    <s v="Credit Card"/>
    <x v="25"/>
    <x v="4"/>
  </r>
  <r>
    <n v="5543"/>
    <d v="2025-07-22T00:00:00"/>
    <n v="1049"/>
    <s v="Karthik Singh"/>
    <x v="0"/>
    <s v="Corporate"/>
    <x v="1"/>
    <x v="0"/>
    <n v="1"/>
    <n v="2500"/>
    <n v="5"/>
    <s v="Net Banking"/>
    <x v="115"/>
    <x v="2"/>
  </r>
  <r>
    <n v="5793"/>
    <d v="2025-10-21T00:00:00"/>
    <n v="1049"/>
    <s v="Karthik Singh"/>
    <x v="0"/>
    <s v="Corporate"/>
    <x v="9"/>
    <x v="2"/>
    <n v="1"/>
    <n v="7500"/>
    <n v="0"/>
    <s v="Cash"/>
    <x v="2"/>
    <x v="11"/>
  </r>
  <r>
    <n v="5859"/>
    <d v="2025-11-12T00:00:00"/>
    <n v="1049"/>
    <s v="Karthik Singh"/>
    <x v="0"/>
    <s v="Corporate"/>
    <x v="10"/>
    <x v="0"/>
    <n v="1"/>
    <n v="18000"/>
    <n v="5"/>
    <s v="Net Banking"/>
    <x v="30"/>
    <x v="10"/>
  </r>
  <r>
    <n v="5665"/>
    <d v="2025-09-07T00:00:00"/>
    <n v="1050"/>
    <s v="Manoj Reddy"/>
    <x v="4"/>
    <s v="Consumer"/>
    <x v="6"/>
    <x v="2"/>
    <n v="5"/>
    <n v="900"/>
    <n v="0"/>
    <s v="UPI"/>
    <x v="82"/>
    <x v="7"/>
  </r>
  <r>
    <n v="5671"/>
    <d v="2025-09-09T00:00:00"/>
    <n v="1050"/>
    <s v="Manoj Reddy"/>
    <x v="4"/>
    <s v="Consumer"/>
    <x v="7"/>
    <x v="0"/>
    <n v="5"/>
    <n v="12000"/>
    <n v="0"/>
    <s v="Credit Card"/>
    <x v="35"/>
    <x v="7"/>
  </r>
  <r>
    <n v="5687"/>
    <d v="2025-09-17T00:00:00"/>
    <n v="1050"/>
    <s v="Manoj Reddy"/>
    <x v="4"/>
    <s v="Consumer"/>
    <x v="2"/>
    <x v="0"/>
    <n v="5"/>
    <n v="55000"/>
    <n v="0"/>
    <s v="Net Banking"/>
    <x v="144"/>
    <x v="7"/>
  </r>
  <r>
    <n v="5988"/>
    <d v="2025-12-27T00:00:00"/>
    <n v="1050"/>
    <s v="Manoj Reddy"/>
    <x v="1"/>
    <s v="Consumer"/>
    <x v="6"/>
    <x v="2"/>
    <n v="5"/>
    <n v="900"/>
    <n v="0"/>
    <s v="Credit Card"/>
    <x v="82"/>
    <x v="1"/>
  </r>
  <r>
    <n v="5623"/>
    <d v="2025-08-21T00:00:00"/>
    <n v="1050"/>
    <s v="Manoj Reddy"/>
    <x v="1"/>
    <s v="Consumer"/>
    <x v="3"/>
    <x v="1"/>
    <n v="3"/>
    <n v="350"/>
    <n v="5"/>
    <s v="Debit Card"/>
    <x v="31"/>
    <x v="6"/>
  </r>
  <r>
    <n v="5986"/>
    <d v="2025-12-26T00:00:00"/>
    <n v="1050"/>
    <s v="Manoj Reddy"/>
    <x v="4"/>
    <s v="Consumer"/>
    <x v="3"/>
    <x v="1"/>
    <n v="3"/>
    <n v="350"/>
    <n v="0"/>
    <s v="UPI"/>
    <x v="22"/>
    <x v="1"/>
  </r>
  <r>
    <n v="5287"/>
    <d v="2025-04-16T00:00:00"/>
    <n v="1050"/>
    <s v="Manoj Reddy"/>
    <x v="4"/>
    <s v="Consumer"/>
    <x v="1"/>
    <x v="0"/>
    <n v="2"/>
    <n v="2500"/>
    <n v="0"/>
    <s v="Net Banking"/>
    <x v="7"/>
    <x v="0"/>
  </r>
  <r>
    <n v="5303"/>
    <d v="2025-04-23T00:00:00"/>
    <n v="1050"/>
    <s v="Manoj Reddy"/>
    <x v="4"/>
    <s v="Consumer"/>
    <x v="11"/>
    <x v="0"/>
    <n v="2"/>
    <n v="9500"/>
    <n v="0"/>
    <s v="Credit Card"/>
    <x v="122"/>
    <x v="0"/>
  </r>
  <r>
    <n v="5664"/>
    <d v="2025-09-06T00:00:00"/>
    <n v="1050"/>
    <s v="Manoj Reddy"/>
    <x v="4"/>
    <s v="Consumer"/>
    <x v="1"/>
    <x v="0"/>
    <n v="2"/>
    <n v="2500"/>
    <n v="5"/>
    <s v="Debit Card"/>
    <x v="91"/>
    <x v="7"/>
  </r>
  <r>
    <n v="5781"/>
    <d v="2025-10-19T00:00:00"/>
    <n v="1050"/>
    <s v="Manoj Reddy"/>
    <x v="4"/>
    <s v="Consumer"/>
    <x v="8"/>
    <x v="1"/>
    <n v="2"/>
    <n v="200"/>
    <n v="5"/>
    <s v="Net Banking"/>
    <x v="159"/>
    <x v="11"/>
  </r>
  <r>
    <n v="5946"/>
    <d v="2025-12-14T00:00:00"/>
    <n v="1050"/>
    <s v="Manoj Reddy"/>
    <x v="4"/>
    <s v="Consumer"/>
    <x v="0"/>
    <x v="0"/>
    <n v="2"/>
    <n v="6000"/>
    <n v="15"/>
    <s v="Net Banking"/>
    <x v="53"/>
    <x v="1"/>
  </r>
  <r>
    <n v="5248"/>
    <d v="2025-03-31T00:00:00"/>
    <n v="1051"/>
    <s v="Imran Reddy"/>
    <x v="4"/>
    <s v="Consumer"/>
    <x v="7"/>
    <x v="0"/>
    <n v="5"/>
    <n v="12000"/>
    <n v="0"/>
    <s v="Net Banking"/>
    <x v="35"/>
    <x v="4"/>
  </r>
  <r>
    <n v="5299"/>
    <d v="2025-04-21T00:00:00"/>
    <n v="1051"/>
    <s v="Imran Reddy"/>
    <x v="4"/>
    <s v="Consumer"/>
    <x v="3"/>
    <x v="1"/>
    <n v="5"/>
    <n v="350"/>
    <n v="15"/>
    <s v="UPI"/>
    <x v="148"/>
    <x v="0"/>
  </r>
  <r>
    <n v="5563"/>
    <d v="2025-08-01T00:00:00"/>
    <n v="1051"/>
    <s v="Imran Reddy"/>
    <x v="4"/>
    <s v="Consumer"/>
    <x v="7"/>
    <x v="0"/>
    <n v="5"/>
    <n v="12000"/>
    <n v="10"/>
    <s v="Cash"/>
    <x v="45"/>
    <x v="6"/>
  </r>
  <r>
    <n v="5565"/>
    <d v="2025-08-03T00:00:00"/>
    <n v="1051"/>
    <s v="Imran Reddy"/>
    <x v="4"/>
    <s v="Consumer"/>
    <x v="1"/>
    <x v="0"/>
    <n v="5"/>
    <n v="2500"/>
    <n v="0"/>
    <s v="Credit Card"/>
    <x v="16"/>
    <x v="6"/>
  </r>
  <r>
    <n v="5633"/>
    <d v="2025-08-26T00:00:00"/>
    <n v="1051"/>
    <s v="Imran Reddy"/>
    <x v="4"/>
    <s v="Consumer"/>
    <x v="1"/>
    <x v="0"/>
    <n v="5"/>
    <n v="2500"/>
    <n v="0"/>
    <s v="Debit Card"/>
    <x v="16"/>
    <x v="6"/>
  </r>
  <r>
    <n v="5908"/>
    <d v="2025-12-03T00:00:00"/>
    <n v="1051"/>
    <s v="Imran Reddy"/>
    <x v="4"/>
    <s v="Consumer"/>
    <x v="4"/>
    <x v="2"/>
    <n v="4"/>
    <n v="16000"/>
    <n v="15"/>
    <s v="Credit Card"/>
    <x v="176"/>
    <x v="1"/>
  </r>
  <r>
    <n v="5359"/>
    <d v="2025-05-17T00:00:00"/>
    <n v="1051"/>
    <s v="Imran Reddy"/>
    <x v="4"/>
    <s v="Consumer"/>
    <x v="1"/>
    <x v="0"/>
    <n v="3"/>
    <n v="2500"/>
    <n v="0"/>
    <s v="Cash"/>
    <x v="2"/>
    <x v="8"/>
  </r>
  <r>
    <n v="5200"/>
    <d v="2025-03-08T00:00:00"/>
    <n v="1051"/>
    <s v="Imran Reddy"/>
    <x v="4"/>
    <s v="Consumer"/>
    <x v="5"/>
    <x v="0"/>
    <n v="2"/>
    <n v="22000"/>
    <n v="0"/>
    <s v="Credit Card"/>
    <x v="177"/>
    <x v="4"/>
  </r>
  <r>
    <n v="5661"/>
    <d v="2025-09-05T00:00:00"/>
    <n v="1051"/>
    <s v="Imran Reddy"/>
    <x v="4"/>
    <s v="Consumer"/>
    <x v="1"/>
    <x v="0"/>
    <n v="2"/>
    <n v="2500"/>
    <n v="15"/>
    <s v="Credit Card"/>
    <x v="141"/>
    <x v="7"/>
  </r>
  <r>
    <n v="5736"/>
    <d v="2025-10-02T00:00:00"/>
    <n v="1051"/>
    <s v="Imran Reddy"/>
    <x v="4"/>
    <s v="Consumer"/>
    <x v="0"/>
    <x v="0"/>
    <n v="2"/>
    <n v="6000"/>
    <n v="5"/>
    <s v="Debit Card"/>
    <x v="129"/>
    <x v="11"/>
  </r>
  <r>
    <n v="5849"/>
    <d v="2025-11-07T00:00:00"/>
    <n v="1051"/>
    <s v="Imran Reddy"/>
    <x v="4"/>
    <s v="Consumer"/>
    <x v="11"/>
    <x v="0"/>
    <n v="2"/>
    <n v="9500"/>
    <n v="0"/>
    <s v="UPI"/>
    <x v="122"/>
    <x v="10"/>
  </r>
  <r>
    <n v="5357"/>
    <d v="2025-05-16T00:00:00"/>
    <n v="1051"/>
    <s v="Imran Reddy"/>
    <x v="4"/>
    <s v="Consumer"/>
    <x v="8"/>
    <x v="1"/>
    <n v="1"/>
    <n v="200"/>
    <n v="5"/>
    <s v="Net Banking"/>
    <x v="64"/>
    <x v="8"/>
  </r>
  <r>
    <n v="5544"/>
    <d v="2025-07-22T00:00:00"/>
    <n v="1051"/>
    <s v="Imran Reddy"/>
    <x v="4"/>
    <s v="Consumer"/>
    <x v="8"/>
    <x v="1"/>
    <n v="1"/>
    <n v="200"/>
    <n v="5"/>
    <s v="Net Banking"/>
    <x v="64"/>
    <x v="2"/>
  </r>
  <r>
    <n v="5584"/>
    <d v="2025-08-08T00:00:00"/>
    <n v="1051"/>
    <s v="Imran Reddy"/>
    <x v="4"/>
    <s v="Consumer"/>
    <x v="1"/>
    <x v="0"/>
    <n v="1"/>
    <n v="2500"/>
    <n v="0"/>
    <s v="UPI"/>
    <x v="12"/>
    <x v="6"/>
  </r>
  <r>
    <n v="5669"/>
    <d v="2025-09-08T00:00:00"/>
    <n v="1051"/>
    <s v="Imran Reddy"/>
    <x v="4"/>
    <s v="Consumer"/>
    <x v="4"/>
    <x v="2"/>
    <n v="1"/>
    <n v="16000"/>
    <n v="0"/>
    <s v="UPI"/>
    <x v="143"/>
    <x v="7"/>
  </r>
  <r>
    <n v="5868"/>
    <d v="2025-11-16T00:00:00"/>
    <n v="1051"/>
    <s v="Imran Reddy"/>
    <x v="4"/>
    <s v="Consumer"/>
    <x v="2"/>
    <x v="0"/>
    <n v="1"/>
    <n v="55000"/>
    <n v="0"/>
    <s v="Credit Card"/>
    <x v="8"/>
    <x v="10"/>
  </r>
  <r>
    <n v="5025"/>
    <d v="2025-01-08T00:00:00"/>
    <n v="1052"/>
    <s v="Imran Sharma"/>
    <x v="4"/>
    <s v="Consumer"/>
    <x v="3"/>
    <x v="1"/>
    <n v="5"/>
    <n v="350"/>
    <n v="5"/>
    <s v="Debit Card"/>
    <x v="17"/>
    <x v="9"/>
  </r>
  <r>
    <n v="5221"/>
    <d v="2025-03-23T00:00:00"/>
    <n v="1052"/>
    <s v="Imran Sharma"/>
    <x v="4"/>
    <s v="Consumer"/>
    <x v="5"/>
    <x v="0"/>
    <n v="5"/>
    <n v="22000"/>
    <n v="5"/>
    <s v="UPI"/>
    <x v="168"/>
    <x v="4"/>
  </r>
  <r>
    <n v="5435"/>
    <d v="2025-06-16T00:00:00"/>
    <n v="1052"/>
    <s v="Imran Sharma"/>
    <x v="4"/>
    <s v="Consumer"/>
    <x v="3"/>
    <x v="1"/>
    <n v="5"/>
    <n v="350"/>
    <n v="10"/>
    <s v="UPI"/>
    <x v="96"/>
    <x v="5"/>
  </r>
  <r>
    <n v="5898"/>
    <d v="2025-12-01T00:00:00"/>
    <n v="1052"/>
    <s v="Imran Sharma"/>
    <x v="4"/>
    <s v="Consumer"/>
    <x v="3"/>
    <x v="1"/>
    <n v="5"/>
    <n v="350"/>
    <n v="15"/>
    <s v="Cash"/>
    <x v="148"/>
    <x v="1"/>
  </r>
  <r>
    <n v="5010"/>
    <d v="2025-01-03T00:00:00"/>
    <n v="1052"/>
    <s v="Imran Sharma"/>
    <x v="4"/>
    <s v="Consumer"/>
    <x v="6"/>
    <x v="2"/>
    <n v="4"/>
    <n v="900"/>
    <n v="0"/>
    <s v="Credit Card"/>
    <x v="85"/>
    <x v="9"/>
  </r>
  <r>
    <n v="5119"/>
    <d v="2025-02-12T00:00:00"/>
    <n v="1052"/>
    <s v="Imran Sharma"/>
    <x v="4"/>
    <s v="Consumer"/>
    <x v="4"/>
    <x v="2"/>
    <n v="4"/>
    <n v="16000"/>
    <n v="10"/>
    <s v="Net Banking"/>
    <x v="171"/>
    <x v="3"/>
  </r>
  <r>
    <n v="5260"/>
    <d v="2025-04-06T00:00:00"/>
    <n v="1052"/>
    <s v="Imran Sharma"/>
    <x v="4"/>
    <s v="Consumer"/>
    <x v="8"/>
    <x v="1"/>
    <n v="4"/>
    <n v="200"/>
    <n v="5"/>
    <s v="Net Banking"/>
    <x v="20"/>
    <x v="0"/>
  </r>
  <r>
    <n v="5289"/>
    <d v="2025-04-17T00:00:00"/>
    <n v="1052"/>
    <s v="Imran Sharma"/>
    <x v="4"/>
    <s v="Consumer"/>
    <x v="7"/>
    <x v="0"/>
    <n v="4"/>
    <n v="12000"/>
    <n v="0"/>
    <s v="UPI"/>
    <x v="67"/>
    <x v="0"/>
  </r>
  <r>
    <n v="5556"/>
    <d v="2025-07-28T00:00:00"/>
    <n v="1052"/>
    <s v="Imran Sharma"/>
    <x v="4"/>
    <s v="Consumer"/>
    <x v="7"/>
    <x v="0"/>
    <n v="4"/>
    <n v="12000"/>
    <n v="0"/>
    <s v="Net Banking"/>
    <x v="67"/>
    <x v="2"/>
  </r>
  <r>
    <n v="5165"/>
    <d v="2025-02-24T00:00:00"/>
    <n v="1052"/>
    <s v="Imran Sharma"/>
    <x v="1"/>
    <s v="Consumer"/>
    <x v="2"/>
    <x v="0"/>
    <n v="3"/>
    <n v="55000"/>
    <n v="0"/>
    <s v="Debit Card"/>
    <x v="23"/>
    <x v="3"/>
  </r>
  <r>
    <n v="5596"/>
    <d v="2025-08-13T00:00:00"/>
    <n v="1052"/>
    <s v="Imran Sharma"/>
    <x v="1"/>
    <s v="Consumer"/>
    <x v="3"/>
    <x v="1"/>
    <n v="3"/>
    <n v="350"/>
    <n v="5"/>
    <s v="UPI"/>
    <x v="31"/>
    <x v="6"/>
  </r>
  <r>
    <n v="5850"/>
    <d v="2025-11-07T00:00:00"/>
    <n v="1052"/>
    <s v="Imran Sharma"/>
    <x v="4"/>
    <s v="Consumer"/>
    <x v="3"/>
    <x v="1"/>
    <n v="3"/>
    <n v="350"/>
    <n v="10"/>
    <s v="UPI"/>
    <x v="128"/>
    <x v="10"/>
  </r>
  <r>
    <n v="5186"/>
    <d v="2025-03-04T00:00:00"/>
    <n v="1052"/>
    <s v="Imran Sharma"/>
    <x v="4"/>
    <s v="Consumer"/>
    <x v="11"/>
    <x v="0"/>
    <n v="2"/>
    <n v="9500"/>
    <n v="5"/>
    <s v="Net Banking"/>
    <x v="63"/>
    <x v="4"/>
  </r>
  <r>
    <n v="5209"/>
    <d v="2025-03-14T00:00:00"/>
    <n v="1052"/>
    <s v="Imran Sharma"/>
    <x v="4"/>
    <s v="Consumer"/>
    <x v="8"/>
    <x v="1"/>
    <n v="2"/>
    <n v="200"/>
    <n v="5"/>
    <s v="Cash"/>
    <x v="159"/>
    <x v="4"/>
  </r>
  <r>
    <n v="5406"/>
    <d v="2025-06-06T00:00:00"/>
    <n v="1052"/>
    <s v="Imran Sharma"/>
    <x v="4"/>
    <s v="Consumer"/>
    <x v="6"/>
    <x v="2"/>
    <n v="2"/>
    <n v="900"/>
    <n v="0"/>
    <s v="Credit Card"/>
    <x v="62"/>
    <x v="5"/>
  </r>
  <r>
    <n v="5434"/>
    <d v="2025-06-16T00:00:00"/>
    <n v="1052"/>
    <s v="Imran Sharma"/>
    <x v="4"/>
    <s v="Consumer"/>
    <x v="1"/>
    <x v="0"/>
    <n v="2"/>
    <n v="2500"/>
    <n v="10"/>
    <s v="Debit Card"/>
    <x v="82"/>
    <x v="5"/>
  </r>
  <r>
    <n v="5798"/>
    <d v="2025-10-23T00:00:00"/>
    <n v="1052"/>
    <s v="Imran Sharma"/>
    <x v="4"/>
    <s v="Consumer"/>
    <x v="7"/>
    <x v="0"/>
    <n v="2"/>
    <n v="12000"/>
    <n v="10"/>
    <s v="Credit Card"/>
    <x v="78"/>
    <x v="11"/>
  </r>
  <r>
    <n v="5853"/>
    <d v="2025-11-08T00:00:00"/>
    <n v="1052"/>
    <s v="Imran Sharma"/>
    <x v="4"/>
    <s v="Consumer"/>
    <x v="7"/>
    <x v="0"/>
    <n v="2"/>
    <n v="12000"/>
    <n v="0"/>
    <s v="Debit Card"/>
    <x v="1"/>
    <x v="10"/>
  </r>
  <r>
    <n v="5014"/>
    <d v="2025-01-04T00:00:00"/>
    <n v="1052"/>
    <s v="Imran Sharma"/>
    <x v="4"/>
    <s v="Consumer"/>
    <x v="10"/>
    <x v="0"/>
    <n v="1"/>
    <n v="18000"/>
    <n v="0"/>
    <s v="UPI"/>
    <x v="61"/>
    <x v="9"/>
  </r>
  <r>
    <n v="5047"/>
    <d v="2025-01-16T00:00:00"/>
    <n v="1052"/>
    <s v="Imran Sharma"/>
    <x v="4"/>
    <s v="Consumer"/>
    <x v="1"/>
    <x v="0"/>
    <n v="1"/>
    <n v="2500"/>
    <n v="10"/>
    <s v="UPI"/>
    <x v="130"/>
    <x v="9"/>
  </r>
  <r>
    <n v="5252"/>
    <d v="2025-04-02T00:00:00"/>
    <n v="1052"/>
    <s v="Imran Sharma"/>
    <x v="4"/>
    <s v="Consumer"/>
    <x v="5"/>
    <x v="0"/>
    <n v="1"/>
    <n v="22000"/>
    <n v="15"/>
    <s v="Debit Card"/>
    <x v="178"/>
    <x v="0"/>
  </r>
  <r>
    <n v="5413"/>
    <d v="2025-06-08T00:00:00"/>
    <n v="1053"/>
    <s v="Kavya Das"/>
    <x v="3"/>
    <s v="Small Business"/>
    <x v="7"/>
    <x v="0"/>
    <n v="5"/>
    <n v="12000"/>
    <n v="0"/>
    <s v="Credit Card"/>
    <x v="35"/>
    <x v="5"/>
  </r>
  <r>
    <n v="5492"/>
    <d v="2025-07-07T00:00:00"/>
    <n v="1053"/>
    <s v="Kavya Das"/>
    <x v="1"/>
    <s v="Small Business"/>
    <x v="5"/>
    <x v="0"/>
    <n v="5"/>
    <n v="22000"/>
    <n v="0"/>
    <s v="Cash"/>
    <x v="49"/>
    <x v="2"/>
  </r>
  <r>
    <n v="5524"/>
    <d v="2025-07-15T00:00:00"/>
    <n v="1053"/>
    <s v="Kavya Das"/>
    <x v="3"/>
    <s v="Small Business"/>
    <x v="5"/>
    <x v="0"/>
    <n v="5"/>
    <n v="22000"/>
    <n v="0"/>
    <s v="Debit Card"/>
    <x v="49"/>
    <x v="2"/>
  </r>
  <r>
    <n v="5643"/>
    <d v="2025-08-28T00:00:00"/>
    <n v="1053"/>
    <s v="Kavya Das"/>
    <x v="3"/>
    <s v="Small Business"/>
    <x v="1"/>
    <x v="0"/>
    <n v="5"/>
    <n v="2500"/>
    <n v="5"/>
    <s v="Debit Card"/>
    <x v="36"/>
    <x v="6"/>
  </r>
  <r>
    <n v="5071"/>
    <d v="2025-01-26T00:00:00"/>
    <n v="1053"/>
    <s v="Kavya Das"/>
    <x v="3"/>
    <s v="Small Business"/>
    <x v="2"/>
    <x v="0"/>
    <n v="3"/>
    <n v="55000"/>
    <n v="0"/>
    <s v="Cash"/>
    <x v="23"/>
    <x v="9"/>
  </r>
  <r>
    <n v="5358"/>
    <d v="2025-05-17T00:00:00"/>
    <n v="1053"/>
    <s v="Kavya Das"/>
    <x v="3"/>
    <s v="Small Business"/>
    <x v="9"/>
    <x v="2"/>
    <n v="3"/>
    <n v="7500"/>
    <n v="0"/>
    <s v="Net Banking"/>
    <x v="52"/>
    <x v="8"/>
  </r>
  <r>
    <n v="5598"/>
    <d v="2025-08-13T00:00:00"/>
    <n v="1053"/>
    <s v="Kavya Das"/>
    <x v="3"/>
    <s v="Small Business"/>
    <x v="3"/>
    <x v="1"/>
    <n v="3"/>
    <n v="350"/>
    <n v="10"/>
    <s v="Net Banking"/>
    <x v="128"/>
    <x v="6"/>
  </r>
  <r>
    <n v="5927"/>
    <d v="2025-12-08T00:00:00"/>
    <n v="1053"/>
    <s v="Kavya Das"/>
    <x v="3"/>
    <s v="Small Business"/>
    <x v="7"/>
    <x v="0"/>
    <n v="2"/>
    <n v="12000"/>
    <n v="10"/>
    <s v="Cash"/>
    <x v="78"/>
    <x v="1"/>
  </r>
  <r>
    <n v="5108"/>
    <d v="2025-02-09T00:00:00"/>
    <n v="1053"/>
    <s v="Kavya Das"/>
    <x v="3"/>
    <s v="Small Business"/>
    <x v="6"/>
    <x v="2"/>
    <n v="1"/>
    <n v="900"/>
    <n v="5"/>
    <s v="Cash"/>
    <x v="11"/>
    <x v="3"/>
  </r>
  <r>
    <n v="5334"/>
    <d v="2025-05-02T00:00:00"/>
    <n v="1053"/>
    <s v="Kavya Das"/>
    <x v="3"/>
    <s v="Small Business"/>
    <x v="1"/>
    <x v="0"/>
    <n v="1"/>
    <n v="2500"/>
    <n v="5"/>
    <s v="Debit Card"/>
    <x v="115"/>
    <x v="8"/>
  </r>
  <r>
    <n v="5593"/>
    <d v="2025-08-13T00:00:00"/>
    <n v="1053"/>
    <s v="Kavya Das"/>
    <x v="3"/>
    <s v="Small Business"/>
    <x v="2"/>
    <x v="0"/>
    <n v="1"/>
    <n v="55000"/>
    <n v="15"/>
    <s v="Credit Card"/>
    <x v="179"/>
    <x v="6"/>
  </r>
  <r>
    <n v="5701"/>
    <d v="2025-09-22T00:00:00"/>
    <n v="1053"/>
    <s v="Kavya Das"/>
    <x v="3"/>
    <s v="Small Business"/>
    <x v="1"/>
    <x v="0"/>
    <n v="1"/>
    <n v="2500"/>
    <n v="0"/>
    <s v="Cash"/>
    <x v="12"/>
    <x v="7"/>
  </r>
  <r>
    <n v="5805"/>
    <d v="2025-10-27T00:00:00"/>
    <n v="1053"/>
    <s v="Kavya Das"/>
    <x v="3"/>
    <s v="Small Business"/>
    <x v="7"/>
    <x v="0"/>
    <n v="1"/>
    <n v="12000"/>
    <n v="15"/>
    <s v="UPI"/>
    <x v="53"/>
    <x v="11"/>
  </r>
  <r>
    <n v="5842"/>
    <d v="2025-11-06T00:00:00"/>
    <n v="1053"/>
    <s v="Kavya Das"/>
    <x v="3"/>
    <s v="Small Business"/>
    <x v="8"/>
    <x v="1"/>
    <n v="1"/>
    <n v="200"/>
    <n v="0"/>
    <s v="Credit Card"/>
    <x v="75"/>
    <x v="10"/>
  </r>
  <r>
    <n v="5791"/>
    <d v="2025-10-21T00:00:00"/>
    <n v="1054"/>
    <s v="Kavya Singh"/>
    <x v="2"/>
    <s v="Corporate"/>
    <x v="1"/>
    <x v="0"/>
    <n v="5"/>
    <n v="2500"/>
    <n v="0"/>
    <s v="Debit Card"/>
    <x v="16"/>
    <x v="11"/>
  </r>
  <r>
    <n v="5940"/>
    <d v="2025-12-13T00:00:00"/>
    <n v="1054"/>
    <s v="Kavya Singh"/>
    <x v="2"/>
    <s v="Corporate"/>
    <x v="4"/>
    <x v="2"/>
    <n v="5"/>
    <n v="16000"/>
    <n v="0"/>
    <s v="Debit Card"/>
    <x v="26"/>
    <x v="1"/>
  </r>
  <r>
    <n v="6000"/>
    <d v="2025-12-31T00:00:00"/>
    <n v="1054"/>
    <s v="Kavya Singh"/>
    <x v="2"/>
    <s v="Corporate"/>
    <x v="5"/>
    <x v="0"/>
    <n v="5"/>
    <n v="22000"/>
    <n v="10"/>
    <s v="Debit Card"/>
    <x v="34"/>
    <x v="1"/>
  </r>
  <r>
    <n v="5515"/>
    <d v="2025-07-13T00:00:00"/>
    <n v="1054"/>
    <s v="Kavya Singh"/>
    <x v="2"/>
    <s v="Corporate"/>
    <x v="7"/>
    <x v="0"/>
    <n v="4"/>
    <n v="12000"/>
    <n v="5"/>
    <s v="Debit Card"/>
    <x v="29"/>
    <x v="2"/>
  </r>
  <r>
    <n v="5084"/>
    <d v="2025-02-01T00:00:00"/>
    <n v="1054"/>
    <s v="Kavya Singh"/>
    <x v="2"/>
    <s v="Corporate"/>
    <x v="8"/>
    <x v="1"/>
    <n v="3"/>
    <n v="200"/>
    <n v="0"/>
    <s v="Cash"/>
    <x v="42"/>
    <x v="3"/>
  </r>
  <r>
    <n v="5171"/>
    <d v="2025-02-26T00:00:00"/>
    <n v="1054"/>
    <s v="Kavya Singh"/>
    <x v="2"/>
    <s v="Corporate"/>
    <x v="4"/>
    <x v="2"/>
    <n v="3"/>
    <n v="16000"/>
    <n v="0"/>
    <s v="Cash"/>
    <x v="67"/>
    <x v="3"/>
  </r>
  <r>
    <n v="5578"/>
    <d v="2025-08-07T00:00:00"/>
    <n v="1054"/>
    <s v="Kavya Singh"/>
    <x v="2"/>
    <s v="Corporate"/>
    <x v="11"/>
    <x v="0"/>
    <n v="3"/>
    <n v="9500"/>
    <n v="0"/>
    <s v="Debit Card"/>
    <x v="50"/>
    <x v="6"/>
  </r>
  <r>
    <n v="5612"/>
    <d v="2025-08-19T00:00:00"/>
    <n v="1054"/>
    <s v="Kavya Singh"/>
    <x v="2"/>
    <s v="Corporate"/>
    <x v="10"/>
    <x v="0"/>
    <n v="3"/>
    <n v="18000"/>
    <n v="5"/>
    <s v="Debit Card"/>
    <x v="87"/>
    <x v="6"/>
  </r>
  <r>
    <n v="5761"/>
    <d v="2025-10-11T00:00:00"/>
    <n v="1054"/>
    <s v="Kavya Singh"/>
    <x v="2"/>
    <s v="Corporate"/>
    <x v="2"/>
    <x v="0"/>
    <n v="3"/>
    <n v="55000"/>
    <n v="5"/>
    <s v="Credit Card"/>
    <x v="3"/>
    <x v="11"/>
  </r>
  <r>
    <n v="5024"/>
    <d v="2025-01-07T00:00:00"/>
    <n v="1054"/>
    <s v="Kavya Singh"/>
    <x v="2"/>
    <s v="Corporate"/>
    <x v="8"/>
    <x v="1"/>
    <n v="2"/>
    <n v="200"/>
    <n v="0"/>
    <s v="Net Banking"/>
    <x v="24"/>
    <x v="9"/>
  </r>
  <r>
    <n v="5075"/>
    <d v="2025-01-28T00:00:00"/>
    <n v="1054"/>
    <s v="Kavya Singh"/>
    <x v="2"/>
    <s v="Corporate"/>
    <x v="10"/>
    <x v="0"/>
    <n v="2"/>
    <n v="18000"/>
    <n v="0"/>
    <s v="Credit Card"/>
    <x v="72"/>
    <x v="9"/>
  </r>
  <r>
    <n v="5089"/>
    <d v="2025-02-03T00:00:00"/>
    <n v="1054"/>
    <s v="Kavya Singh"/>
    <x v="2"/>
    <s v="Corporate"/>
    <x v="10"/>
    <x v="0"/>
    <n v="2"/>
    <n v="18000"/>
    <n v="5"/>
    <s v="Credit Card"/>
    <x v="89"/>
    <x v="3"/>
  </r>
  <r>
    <n v="5332"/>
    <d v="2025-05-02T00:00:00"/>
    <n v="1054"/>
    <s v="Kavya Singh"/>
    <x v="2"/>
    <s v="Corporate"/>
    <x v="5"/>
    <x v="0"/>
    <n v="2"/>
    <n v="22000"/>
    <n v="0"/>
    <s v="Credit Card"/>
    <x v="177"/>
    <x v="8"/>
  </r>
  <r>
    <n v="5257"/>
    <d v="2025-04-04T00:00:00"/>
    <n v="1054"/>
    <s v="Kavya Singh"/>
    <x v="2"/>
    <s v="Corporate"/>
    <x v="7"/>
    <x v="0"/>
    <n v="1"/>
    <n v="12000"/>
    <n v="15"/>
    <s v="Net Banking"/>
    <x v="53"/>
    <x v="0"/>
  </r>
  <r>
    <n v="5392"/>
    <d v="2025-06-01T00:00:00"/>
    <n v="1054"/>
    <s v="Kavya Singh"/>
    <x v="1"/>
    <s v="Corporate"/>
    <x v="1"/>
    <x v="0"/>
    <n v="1"/>
    <n v="2500"/>
    <n v="15"/>
    <s v="Debit Card"/>
    <x v="180"/>
    <x v="5"/>
  </r>
  <r>
    <n v="5452"/>
    <d v="2025-06-23T00:00:00"/>
    <n v="1054"/>
    <s v="Kavya Singh"/>
    <x v="2"/>
    <s v="Corporate"/>
    <x v="10"/>
    <x v="0"/>
    <n v="1"/>
    <n v="18000"/>
    <n v="0"/>
    <s v="Debit Card"/>
    <x v="61"/>
    <x v="5"/>
  </r>
  <r>
    <n v="5742"/>
    <d v="2025-10-06T00:00:00"/>
    <n v="1054"/>
    <s v="Kavya Singh"/>
    <x v="2"/>
    <s v="Corporate"/>
    <x v="8"/>
    <x v="1"/>
    <n v="1"/>
    <n v="200"/>
    <n v="5"/>
    <s v="Credit Card"/>
    <x v="64"/>
    <x v="11"/>
  </r>
  <r>
    <n v="5813"/>
    <d v="2025-10-29T00:00:00"/>
    <n v="1055"/>
    <s v="Pooja Singh"/>
    <x v="2"/>
    <s v="Consumer"/>
    <x v="3"/>
    <x v="1"/>
    <n v="5"/>
    <n v="350"/>
    <n v="0"/>
    <s v="UPI"/>
    <x v="13"/>
    <x v="11"/>
  </r>
  <r>
    <n v="5864"/>
    <d v="2025-11-13T00:00:00"/>
    <n v="1055"/>
    <s v="Pooja Singh"/>
    <x v="2"/>
    <s v="Consumer"/>
    <x v="9"/>
    <x v="2"/>
    <n v="5"/>
    <n v="7500"/>
    <n v="15"/>
    <s v="Credit Card"/>
    <x v="56"/>
    <x v="10"/>
  </r>
  <r>
    <n v="5015"/>
    <d v="2025-01-04T00:00:00"/>
    <n v="1055"/>
    <s v="Pooja Singh"/>
    <x v="2"/>
    <s v="Consumer"/>
    <x v="10"/>
    <x v="0"/>
    <n v="4"/>
    <n v="18000"/>
    <n v="0"/>
    <s v="Net Banking"/>
    <x v="46"/>
    <x v="9"/>
  </r>
  <r>
    <n v="5432"/>
    <d v="2025-06-15T00:00:00"/>
    <n v="1055"/>
    <s v="Pooja Singh"/>
    <x v="2"/>
    <s v="Consumer"/>
    <x v="1"/>
    <x v="0"/>
    <n v="4"/>
    <n v="2500"/>
    <n v="0"/>
    <s v="Credit Card"/>
    <x v="40"/>
    <x v="5"/>
  </r>
  <r>
    <n v="5054"/>
    <d v="2025-01-18T00:00:00"/>
    <n v="1055"/>
    <s v="Pooja Singh"/>
    <x v="2"/>
    <s v="Consumer"/>
    <x v="8"/>
    <x v="1"/>
    <n v="3"/>
    <n v="200"/>
    <n v="10"/>
    <s v="Credit Card"/>
    <x v="119"/>
    <x v="9"/>
  </r>
  <r>
    <n v="5090"/>
    <d v="2025-02-03T00:00:00"/>
    <n v="1055"/>
    <s v="Pooja Singh"/>
    <x v="2"/>
    <s v="Consumer"/>
    <x v="10"/>
    <x v="0"/>
    <n v="3"/>
    <n v="18000"/>
    <n v="5"/>
    <s v="Cash"/>
    <x v="87"/>
    <x v="3"/>
  </r>
  <r>
    <n v="5128"/>
    <d v="2025-02-14T00:00:00"/>
    <n v="1055"/>
    <s v="Pooja Singh"/>
    <x v="2"/>
    <s v="Consumer"/>
    <x v="5"/>
    <x v="0"/>
    <n v="3"/>
    <n v="22000"/>
    <n v="0"/>
    <s v="Cash"/>
    <x v="32"/>
    <x v="3"/>
  </r>
  <r>
    <n v="5408"/>
    <d v="2025-06-07T00:00:00"/>
    <n v="1055"/>
    <s v="Pooja Singh"/>
    <x v="2"/>
    <s v="Consumer"/>
    <x v="4"/>
    <x v="2"/>
    <n v="3"/>
    <n v="16000"/>
    <n v="0"/>
    <s v="Credit Card"/>
    <x v="67"/>
    <x v="5"/>
  </r>
  <r>
    <n v="5526"/>
    <d v="2025-07-16T00:00:00"/>
    <n v="1055"/>
    <s v="Pooja Singh"/>
    <x v="2"/>
    <s v="Consumer"/>
    <x v="7"/>
    <x v="0"/>
    <n v="3"/>
    <n v="12000"/>
    <n v="0"/>
    <s v="Net Banking"/>
    <x v="72"/>
    <x v="2"/>
  </r>
  <r>
    <n v="5801"/>
    <d v="2025-10-26T00:00:00"/>
    <n v="1055"/>
    <s v="Pooja Singh"/>
    <x v="2"/>
    <s v="Consumer"/>
    <x v="7"/>
    <x v="0"/>
    <n v="3"/>
    <n v="12000"/>
    <n v="5"/>
    <s v="Debit Card"/>
    <x v="89"/>
    <x v="11"/>
  </r>
  <r>
    <n v="5207"/>
    <d v="2025-03-13T00:00:00"/>
    <n v="1055"/>
    <s v="Pooja Singh"/>
    <x v="2"/>
    <s v="Consumer"/>
    <x v="3"/>
    <x v="1"/>
    <n v="2"/>
    <n v="350"/>
    <n v="5"/>
    <s v="UPI"/>
    <x v="4"/>
    <x v="4"/>
  </r>
  <r>
    <n v="5269"/>
    <d v="2025-04-09T00:00:00"/>
    <n v="1055"/>
    <s v="Pooja Singh"/>
    <x v="1"/>
    <s v="Consumer"/>
    <x v="7"/>
    <x v="0"/>
    <n v="2"/>
    <n v="12000"/>
    <n v="0"/>
    <s v="Credit Card"/>
    <x v="1"/>
    <x v="0"/>
  </r>
  <r>
    <n v="5651"/>
    <d v="2025-09-01T00:00:00"/>
    <n v="1055"/>
    <s v="Pooja Singh"/>
    <x v="2"/>
    <s v="Consumer"/>
    <x v="3"/>
    <x v="1"/>
    <n v="2"/>
    <n v="350"/>
    <n v="15"/>
    <s v="Cash"/>
    <x v="79"/>
    <x v="7"/>
  </r>
  <r>
    <n v="5987"/>
    <d v="2025-12-26T00:00:00"/>
    <n v="1055"/>
    <s v="Pooja Singh"/>
    <x v="2"/>
    <s v="Consumer"/>
    <x v="1"/>
    <x v="0"/>
    <n v="2"/>
    <n v="2500"/>
    <n v="10"/>
    <s v="UPI"/>
    <x v="82"/>
    <x v="1"/>
  </r>
  <r>
    <n v="5768"/>
    <d v="2025-10-14T00:00:00"/>
    <n v="1055"/>
    <s v="Pooja Singh"/>
    <x v="2"/>
    <s v="Consumer"/>
    <x v="8"/>
    <x v="1"/>
    <n v="1"/>
    <n v="200"/>
    <n v="10"/>
    <s v="Debit Card"/>
    <x v="66"/>
    <x v="11"/>
  </r>
  <r>
    <n v="5814"/>
    <d v="2025-10-30T00:00:00"/>
    <n v="1055"/>
    <s v="Pooja Singh"/>
    <x v="2"/>
    <s v="Consumer"/>
    <x v="10"/>
    <x v="0"/>
    <n v="1"/>
    <n v="18000"/>
    <n v="0"/>
    <s v="Credit Card"/>
    <x v="61"/>
    <x v="11"/>
  </r>
  <r>
    <n v="5323"/>
    <d v="2025-04-28T00:00:00"/>
    <n v="1056"/>
    <s v="Meera Das"/>
    <x v="0"/>
    <s v="Consumer"/>
    <x v="5"/>
    <x v="0"/>
    <n v="5"/>
    <n v="22000"/>
    <n v="0"/>
    <s v="Net Banking"/>
    <x v="49"/>
    <x v="0"/>
  </r>
  <r>
    <n v="5690"/>
    <d v="2025-09-19T00:00:00"/>
    <n v="1056"/>
    <s v="Meera Das"/>
    <x v="0"/>
    <s v="Consumer"/>
    <x v="8"/>
    <x v="1"/>
    <n v="5"/>
    <n v="200"/>
    <n v="0"/>
    <s v="Credit Card"/>
    <x v="15"/>
    <x v="7"/>
  </r>
  <r>
    <n v="5714"/>
    <d v="2025-09-26T00:00:00"/>
    <n v="1056"/>
    <s v="Meera Das"/>
    <x v="0"/>
    <s v="Consumer"/>
    <x v="3"/>
    <x v="1"/>
    <n v="5"/>
    <n v="350"/>
    <n v="5"/>
    <s v="Debit Card"/>
    <x v="17"/>
    <x v="7"/>
  </r>
  <r>
    <n v="5216"/>
    <d v="2025-03-18T00:00:00"/>
    <n v="1056"/>
    <s v="Meera Das"/>
    <x v="0"/>
    <s v="Consumer"/>
    <x v="3"/>
    <x v="1"/>
    <n v="4"/>
    <n v="350"/>
    <n v="0"/>
    <s v="Credit Card"/>
    <x v="28"/>
    <x v="4"/>
  </r>
  <r>
    <n v="5233"/>
    <d v="2025-03-28T00:00:00"/>
    <n v="1056"/>
    <s v="Meera Das"/>
    <x v="0"/>
    <s v="Consumer"/>
    <x v="3"/>
    <x v="1"/>
    <n v="4"/>
    <n v="350"/>
    <n v="0"/>
    <s v="Net Banking"/>
    <x v="28"/>
    <x v="4"/>
  </r>
  <r>
    <n v="5379"/>
    <d v="2025-05-27T00:00:00"/>
    <n v="1056"/>
    <s v="Meera Das"/>
    <x v="0"/>
    <s v="Consumer"/>
    <x v="10"/>
    <x v="0"/>
    <n v="4"/>
    <n v="18000"/>
    <n v="5"/>
    <s v="Debit Card"/>
    <x v="181"/>
    <x v="8"/>
  </r>
  <r>
    <n v="5405"/>
    <d v="2025-06-06T00:00:00"/>
    <n v="1056"/>
    <s v="Meera Das"/>
    <x v="0"/>
    <s v="Consumer"/>
    <x v="1"/>
    <x v="0"/>
    <n v="4"/>
    <n v="2500"/>
    <n v="5"/>
    <s v="Net Banking"/>
    <x v="80"/>
    <x v="5"/>
  </r>
  <r>
    <n v="5928"/>
    <d v="2025-12-08T00:00:00"/>
    <n v="1056"/>
    <s v="Meera Das"/>
    <x v="0"/>
    <s v="Consumer"/>
    <x v="10"/>
    <x v="0"/>
    <n v="4"/>
    <n v="18000"/>
    <n v="0"/>
    <s v="Debit Card"/>
    <x v="46"/>
    <x v="1"/>
  </r>
  <r>
    <n v="5230"/>
    <d v="2025-03-27T00:00:00"/>
    <n v="1056"/>
    <s v="Meera Das"/>
    <x v="1"/>
    <s v="Consumer"/>
    <x v="9"/>
    <x v="2"/>
    <n v="3"/>
    <n v="7500"/>
    <n v="0"/>
    <s v="UPI"/>
    <x v="52"/>
    <x v="4"/>
  </r>
  <r>
    <n v="5648"/>
    <d v="2025-08-31T00:00:00"/>
    <n v="1056"/>
    <s v="Meera Das"/>
    <x v="0"/>
    <s v="Consumer"/>
    <x v="1"/>
    <x v="0"/>
    <n v="3"/>
    <n v="2500"/>
    <n v="0"/>
    <s v="UPI"/>
    <x v="2"/>
    <x v="6"/>
  </r>
  <r>
    <n v="5677"/>
    <d v="2025-09-12T00:00:00"/>
    <n v="1056"/>
    <s v="Meera Das"/>
    <x v="0"/>
    <s v="Consumer"/>
    <x v="3"/>
    <x v="1"/>
    <n v="3"/>
    <n v="350"/>
    <n v="0"/>
    <s v="UPI"/>
    <x v="22"/>
    <x v="7"/>
  </r>
  <r>
    <n v="5672"/>
    <d v="2025-09-10T00:00:00"/>
    <n v="1056"/>
    <s v="Meera Das"/>
    <x v="0"/>
    <s v="Consumer"/>
    <x v="4"/>
    <x v="2"/>
    <n v="2"/>
    <n v="16000"/>
    <n v="0"/>
    <s v="UPI"/>
    <x v="5"/>
    <x v="7"/>
  </r>
  <r>
    <n v="5264"/>
    <d v="2025-04-09T00:00:00"/>
    <n v="1056"/>
    <s v="Meera Das"/>
    <x v="0"/>
    <s v="Consumer"/>
    <x v="7"/>
    <x v="0"/>
    <n v="1"/>
    <n v="12000"/>
    <n v="5"/>
    <s v="Net Banking"/>
    <x v="129"/>
    <x v="0"/>
  </r>
  <r>
    <n v="5451"/>
    <d v="2025-06-23T00:00:00"/>
    <n v="1056"/>
    <s v="Meera Das"/>
    <x v="0"/>
    <s v="Consumer"/>
    <x v="7"/>
    <x v="0"/>
    <n v="1"/>
    <n v="12000"/>
    <n v="15"/>
    <s v="Cash"/>
    <x v="53"/>
    <x v="5"/>
  </r>
  <r>
    <n v="5866"/>
    <d v="2025-11-15T00:00:00"/>
    <n v="1056"/>
    <s v="Meera Das"/>
    <x v="0"/>
    <s v="Consumer"/>
    <x v="3"/>
    <x v="1"/>
    <n v="1"/>
    <n v="350"/>
    <n v="10"/>
    <s v="Cash"/>
    <x v="76"/>
    <x v="10"/>
  </r>
  <r>
    <n v="5754"/>
    <d v="2025-10-09T00:00:00"/>
    <n v="1057"/>
    <s v="Isha Patel"/>
    <x v="2"/>
    <s v="Consumer"/>
    <x v="10"/>
    <x v="0"/>
    <n v="5"/>
    <n v="18000"/>
    <n v="15"/>
    <s v="Cash"/>
    <x v="153"/>
    <x v="11"/>
  </r>
  <r>
    <n v="5848"/>
    <d v="2025-11-07T00:00:00"/>
    <n v="1057"/>
    <s v="Isha Patel"/>
    <x v="2"/>
    <s v="Consumer"/>
    <x v="0"/>
    <x v="0"/>
    <n v="5"/>
    <n v="6000"/>
    <n v="10"/>
    <s v="UPI"/>
    <x v="55"/>
    <x v="10"/>
  </r>
  <r>
    <n v="5121"/>
    <d v="2025-02-13T00:00:00"/>
    <n v="1057"/>
    <s v="Isha Patel"/>
    <x v="2"/>
    <s v="Consumer"/>
    <x v="7"/>
    <x v="0"/>
    <n v="4"/>
    <n v="12000"/>
    <n v="0"/>
    <s v="Cash"/>
    <x v="67"/>
    <x v="3"/>
  </r>
  <r>
    <n v="5610"/>
    <d v="2025-08-18T00:00:00"/>
    <n v="1057"/>
    <s v="Isha Patel"/>
    <x v="2"/>
    <s v="Consumer"/>
    <x v="7"/>
    <x v="0"/>
    <n v="4"/>
    <n v="12000"/>
    <n v="0"/>
    <s v="UPI"/>
    <x v="67"/>
    <x v="6"/>
  </r>
  <r>
    <n v="5797"/>
    <d v="2025-10-23T00:00:00"/>
    <n v="1057"/>
    <s v="Isha Patel"/>
    <x v="2"/>
    <s v="Consumer"/>
    <x v="1"/>
    <x v="0"/>
    <n v="4"/>
    <n v="2500"/>
    <n v="5"/>
    <s v="Credit Card"/>
    <x v="80"/>
    <x v="11"/>
  </r>
  <r>
    <n v="5574"/>
    <d v="2025-08-05T00:00:00"/>
    <n v="1057"/>
    <s v="Isha Patel"/>
    <x v="2"/>
    <s v="Consumer"/>
    <x v="3"/>
    <x v="1"/>
    <n v="3"/>
    <n v="350"/>
    <n v="5"/>
    <s v="Credit Card"/>
    <x v="31"/>
    <x v="6"/>
  </r>
  <r>
    <n v="5147"/>
    <d v="2025-02-20T00:00:00"/>
    <n v="1057"/>
    <s v="Isha Patel"/>
    <x v="2"/>
    <s v="Consumer"/>
    <x v="5"/>
    <x v="0"/>
    <n v="2"/>
    <n v="22000"/>
    <n v="5"/>
    <s v="UPI"/>
    <x v="146"/>
    <x v="3"/>
  </r>
  <r>
    <n v="5381"/>
    <d v="2025-05-28T00:00:00"/>
    <n v="1057"/>
    <s v="Isha Patel"/>
    <x v="2"/>
    <s v="Consumer"/>
    <x v="1"/>
    <x v="0"/>
    <n v="2"/>
    <n v="2500"/>
    <n v="10"/>
    <s v="Credit Card"/>
    <x v="82"/>
    <x v="8"/>
  </r>
  <r>
    <n v="5869"/>
    <d v="2025-11-16T00:00:00"/>
    <n v="1057"/>
    <s v="Isha Patel"/>
    <x v="2"/>
    <s v="Consumer"/>
    <x v="3"/>
    <x v="1"/>
    <n v="2"/>
    <n v="350"/>
    <n v="0"/>
    <s v="Debit Card"/>
    <x v="6"/>
    <x v="10"/>
  </r>
  <r>
    <n v="5921"/>
    <d v="2025-12-06T00:00:00"/>
    <n v="1057"/>
    <s v="Isha Patel"/>
    <x v="2"/>
    <s v="Consumer"/>
    <x v="11"/>
    <x v="0"/>
    <n v="2"/>
    <n v="9500"/>
    <n v="10"/>
    <s v="Credit Card"/>
    <x v="30"/>
    <x v="1"/>
  </r>
  <r>
    <n v="5933"/>
    <d v="2025-12-09T00:00:00"/>
    <n v="1057"/>
    <s v="Isha Patel"/>
    <x v="2"/>
    <s v="Consumer"/>
    <x v="8"/>
    <x v="1"/>
    <n v="2"/>
    <n v="200"/>
    <n v="0"/>
    <s v="Net Banking"/>
    <x v="24"/>
    <x v="1"/>
  </r>
  <r>
    <n v="5389"/>
    <d v="2025-05-31T00:00:00"/>
    <n v="1057"/>
    <s v="Isha Patel"/>
    <x v="2"/>
    <s v="Consumer"/>
    <x v="6"/>
    <x v="2"/>
    <n v="1"/>
    <n v="900"/>
    <n v="0"/>
    <s v="UPI"/>
    <x v="44"/>
    <x v="8"/>
  </r>
  <r>
    <n v="5427"/>
    <d v="2025-06-13T00:00:00"/>
    <n v="1057"/>
    <s v="Isha Patel"/>
    <x v="2"/>
    <s v="Consumer"/>
    <x v="6"/>
    <x v="2"/>
    <n v="1"/>
    <n v="900"/>
    <n v="0"/>
    <s v="UPI"/>
    <x v="44"/>
    <x v="5"/>
  </r>
  <r>
    <n v="5466"/>
    <d v="2025-06-28T00:00:00"/>
    <n v="1057"/>
    <s v="Isha Patel"/>
    <x v="2"/>
    <s v="Consumer"/>
    <x v="1"/>
    <x v="0"/>
    <n v="1"/>
    <n v="2500"/>
    <n v="5"/>
    <s v="Cash"/>
    <x v="115"/>
    <x v="5"/>
  </r>
  <r>
    <n v="5537"/>
    <d v="2025-07-20T00:00:00"/>
    <n v="1057"/>
    <s v="Isha Patel"/>
    <x v="2"/>
    <s v="Consumer"/>
    <x v="3"/>
    <x v="1"/>
    <n v="1"/>
    <n v="350"/>
    <n v="5"/>
    <s v="Credit Card"/>
    <x v="94"/>
    <x v="2"/>
  </r>
  <r>
    <n v="5069"/>
    <d v="2025-01-25T00:00:00"/>
    <n v="1058"/>
    <s v="Rahul Nair"/>
    <x v="4"/>
    <s v="Corporate"/>
    <x v="8"/>
    <x v="1"/>
    <n v="5"/>
    <n v="200"/>
    <n v="0"/>
    <s v="UPI"/>
    <x v="15"/>
    <x v="9"/>
  </r>
  <r>
    <n v="5510"/>
    <d v="2025-07-11T00:00:00"/>
    <n v="1058"/>
    <s v="Rahul Nair"/>
    <x v="4"/>
    <s v="Corporate"/>
    <x v="2"/>
    <x v="0"/>
    <n v="5"/>
    <n v="55000"/>
    <n v="0"/>
    <s v="Credit Card"/>
    <x v="144"/>
    <x v="2"/>
  </r>
  <r>
    <n v="5634"/>
    <d v="2025-08-26T00:00:00"/>
    <n v="1058"/>
    <s v="Rahul Nair"/>
    <x v="4"/>
    <s v="Corporate"/>
    <x v="10"/>
    <x v="0"/>
    <n v="5"/>
    <n v="18000"/>
    <n v="0"/>
    <s v="Debit Card"/>
    <x v="100"/>
    <x v="6"/>
  </r>
  <r>
    <n v="5484"/>
    <d v="2025-07-04T00:00:00"/>
    <n v="1058"/>
    <s v="Rahul Nair"/>
    <x v="4"/>
    <s v="Corporate"/>
    <x v="8"/>
    <x v="1"/>
    <n v="4"/>
    <n v="200"/>
    <n v="0"/>
    <s v="Cash"/>
    <x v="21"/>
    <x v="2"/>
  </r>
  <r>
    <n v="5822"/>
    <d v="2025-11-02T00:00:00"/>
    <n v="1058"/>
    <s v="Rahul Nair"/>
    <x v="4"/>
    <s v="Corporate"/>
    <x v="7"/>
    <x v="0"/>
    <n v="4"/>
    <n v="12000"/>
    <n v="0"/>
    <s v="Net Banking"/>
    <x v="67"/>
    <x v="10"/>
  </r>
  <r>
    <n v="5843"/>
    <d v="2025-11-06T00:00:00"/>
    <n v="1058"/>
    <s v="Rahul Nair"/>
    <x v="4"/>
    <s v="Corporate"/>
    <x v="0"/>
    <x v="0"/>
    <n v="4"/>
    <n v="6000"/>
    <n v="10"/>
    <s v="Debit Card"/>
    <x v="78"/>
    <x v="10"/>
  </r>
  <r>
    <n v="5076"/>
    <d v="2025-01-28T00:00:00"/>
    <n v="1058"/>
    <s v="Rahul Nair"/>
    <x v="4"/>
    <s v="Corporate"/>
    <x v="7"/>
    <x v="0"/>
    <n v="3"/>
    <n v="12000"/>
    <n v="5"/>
    <s v="Net Banking"/>
    <x v="89"/>
    <x v="9"/>
  </r>
  <r>
    <n v="5077"/>
    <d v="2025-01-29T00:00:00"/>
    <n v="1058"/>
    <s v="Rahul Nair"/>
    <x v="4"/>
    <s v="Corporate"/>
    <x v="4"/>
    <x v="2"/>
    <n v="2"/>
    <n v="16000"/>
    <n v="10"/>
    <s v="Cash"/>
    <x v="73"/>
    <x v="9"/>
  </r>
  <r>
    <n v="5140"/>
    <d v="2025-02-18T00:00:00"/>
    <n v="1058"/>
    <s v="Rahul Nair"/>
    <x v="4"/>
    <s v="Corporate"/>
    <x v="3"/>
    <x v="1"/>
    <n v="2"/>
    <n v="350"/>
    <n v="0"/>
    <s v="Debit Card"/>
    <x v="6"/>
    <x v="3"/>
  </r>
  <r>
    <n v="5630"/>
    <d v="2025-08-25T00:00:00"/>
    <n v="1058"/>
    <s v="Rahul Nair"/>
    <x v="4"/>
    <s v="Corporate"/>
    <x v="4"/>
    <x v="2"/>
    <n v="2"/>
    <n v="16000"/>
    <n v="0"/>
    <s v="Credit Card"/>
    <x v="5"/>
    <x v="6"/>
  </r>
  <r>
    <n v="5639"/>
    <d v="2025-08-27T00:00:00"/>
    <n v="1058"/>
    <s v="Rahul Nair"/>
    <x v="4"/>
    <s v="Corporate"/>
    <x v="11"/>
    <x v="0"/>
    <n v="2"/>
    <n v="9500"/>
    <n v="0"/>
    <s v="UPI"/>
    <x v="122"/>
    <x v="6"/>
  </r>
  <r>
    <n v="5817"/>
    <d v="2025-10-31T00:00:00"/>
    <n v="1058"/>
    <s v="Rahul Nair"/>
    <x v="4"/>
    <s v="Corporate"/>
    <x v="8"/>
    <x v="1"/>
    <n v="2"/>
    <n v="200"/>
    <n v="5"/>
    <s v="UPI"/>
    <x v="159"/>
    <x v="11"/>
  </r>
  <r>
    <n v="5865"/>
    <d v="2025-11-14T00:00:00"/>
    <n v="1058"/>
    <s v="Rahul Nair"/>
    <x v="4"/>
    <s v="Corporate"/>
    <x v="9"/>
    <x v="2"/>
    <n v="2"/>
    <n v="7500"/>
    <n v="15"/>
    <s v="Credit Card"/>
    <x v="54"/>
    <x v="10"/>
  </r>
  <r>
    <n v="5148"/>
    <d v="2025-02-21T00:00:00"/>
    <n v="1058"/>
    <s v="Rahul Nair"/>
    <x v="4"/>
    <s v="Corporate"/>
    <x v="10"/>
    <x v="0"/>
    <n v="1"/>
    <n v="18000"/>
    <n v="0"/>
    <s v="Debit Card"/>
    <x v="61"/>
    <x v="3"/>
  </r>
  <r>
    <n v="5400"/>
    <d v="2025-06-02T00:00:00"/>
    <n v="1058"/>
    <s v="Rahul Nair"/>
    <x v="4"/>
    <s v="Corporate"/>
    <x v="1"/>
    <x v="0"/>
    <n v="1"/>
    <n v="2500"/>
    <n v="0"/>
    <s v="Credit Card"/>
    <x v="12"/>
    <x v="5"/>
  </r>
  <r>
    <n v="5532"/>
    <d v="2025-07-18T00:00:00"/>
    <n v="1058"/>
    <s v="Rahul Nair"/>
    <x v="4"/>
    <s v="Corporate"/>
    <x v="6"/>
    <x v="2"/>
    <n v="1"/>
    <n v="900"/>
    <n v="0"/>
    <s v="Credit Card"/>
    <x v="44"/>
    <x v="2"/>
  </r>
  <r>
    <n v="5728"/>
    <d v="2025-09-29T00:00:00"/>
    <n v="1058"/>
    <s v="Rahul Nair"/>
    <x v="4"/>
    <s v="Corporate"/>
    <x v="1"/>
    <x v="0"/>
    <n v="1"/>
    <n v="2500"/>
    <n v="15"/>
    <s v="UPI"/>
    <x v="180"/>
    <x v="7"/>
  </r>
  <r>
    <n v="5081"/>
    <d v="2025-01-31T00:00:00"/>
    <n v="1059"/>
    <s v="Aarav Reddy"/>
    <x v="3"/>
    <s v="Consumer"/>
    <x v="1"/>
    <x v="0"/>
    <n v="5"/>
    <n v="2500"/>
    <n v="0"/>
    <s v="Cash"/>
    <x v="16"/>
    <x v="9"/>
  </r>
  <r>
    <n v="5175"/>
    <d v="2025-02-27T00:00:00"/>
    <n v="1059"/>
    <s v="Aarav Reddy"/>
    <x v="3"/>
    <s v="Consumer"/>
    <x v="0"/>
    <x v="0"/>
    <n v="5"/>
    <n v="6000"/>
    <n v="15"/>
    <s v="Debit Card"/>
    <x v="160"/>
    <x v="3"/>
  </r>
  <r>
    <n v="5267"/>
    <d v="2025-04-09T00:00:00"/>
    <n v="1059"/>
    <s v="Aarav Reddy"/>
    <x v="3"/>
    <s v="Consumer"/>
    <x v="3"/>
    <x v="1"/>
    <n v="4"/>
    <n v="350"/>
    <n v="0"/>
    <s v="Debit Card"/>
    <x v="28"/>
    <x v="0"/>
  </r>
  <r>
    <n v="5497"/>
    <d v="2025-07-08T00:00:00"/>
    <n v="1059"/>
    <s v="Aarav Reddy"/>
    <x v="3"/>
    <s v="Consumer"/>
    <x v="1"/>
    <x v="0"/>
    <n v="3"/>
    <n v="2500"/>
    <n v="5"/>
    <s v="Net Banking"/>
    <x v="74"/>
    <x v="2"/>
  </r>
  <r>
    <n v="5530"/>
    <d v="2025-07-17T00:00:00"/>
    <n v="1059"/>
    <s v="Aarav Reddy"/>
    <x v="3"/>
    <s v="Consumer"/>
    <x v="3"/>
    <x v="1"/>
    <n v="3"/>
    <n v="350"/>
    <n v="0"/>
    <s v="Credit Card"/>
    <x v="22"/>
    <x v="2"/>
  </r>
  <r>
    <n v="5970"/>
    <d v="2025-12-20T00:00:00"/>
    <n v="1059"/>
    <s v="Aarav Reddy"/>
    <x v="3"/>
    <s v="Consumer"/>
    <x v="1"/>
    <x v="0"/>
    <n v="3"/>
    <n v="2500"/>
    <n v="15"/>
    <s v="Debit Card"/>
    <x v="132"/>
    <x v="1"/>
  </r>
  <r>
    <n v="5349"/>
    <d v="2025-05-14T00:00:00"/>
    <n v="1059"/>
    <s v="Aarav Reddy"/>
    <x v="3"/>
    <s v="Consumer"/>
    <x v="0"/>
    <x v="0"/>
    <n v="2"/>
    <n v="6000"/>
    <n v="15"/>
    <s v="Debit Card"/>
    <x v="53"/>
    <x v="8"/>
  </r>
  <r>
    <n v="5446"/>
    <d v="2025-06-20T00:00:00"/>
    <n v="1059"/>
    <s v="Aarav Reddy"/>
    <x v="3"/>
    <s v="Consumer"/>
    <x v="8"/>
    <x v="1"/>
    <n v="2"/>
    <n v="200"/>
    <n v="0"/>
    <s v="UPI"/>
    <x v="24"/>
    <x v="5"/>
  </r>
  <r>
    <n v="5655"/>
    <d v="2025-09-02T00:00:00"/>
    <n v="1059"/>
    <s v="Aarav Reddy"/>
    <x v="3"/>
    <s v="Consumer"/>
    <x v="8"/>
    <x v="1"/>
    <n v="2"/>
    <n v="200"/>
    <n v="5"/>
    <s v="Cash"/>
    <x v="159"/>
    <x v="7"/>
  </r>
  <r>
    <n v="5832"/>
    <d v="2025-11-04T00:00:00"/>
    <n v="1059"/>
    <s v="Aarav Reddy"/>
    <x v="3"/>
    <s v="Consumer"/>
    <x v="0"/>
    <x v="0"/>
    <n v="2"/>
    <n v="6000"/>
    <n v="5"/>
    <s v="Cash"/>
    <x v="129"/>
    <x v="10"/>
  </r>
  <r>
    <n v="5930"/>
    <d v="2025-12-08T00:00:00"/>
    <n v="1059"/>
    <s v="Aarav Reddy"/>
    <x v="3"/>
    <s v="Consumer"/>
    <x v="2"/>
    <x v="0"/>
    <n v="2"/>
    <n v="55000"/>
    <n v="0"/>
    <s v="Cash"/>
    <x v="49"/>
    <x v="1"/>
  </r>
  <r>
    <n v="5870"/>
    <d v="2025-11-17T00:00:00"/>
    <n v="1059"/>
    <s v="Aarav Reddy"/>
    <x v="3"/>
    <s v="Consumer"/>
    <x v="0"/>
    <x v="0"/>
    <n v="1"/>
    <n v="6000"/>
    <n v="10"/>
    <s v="Debit Card"/>
    <x v="166"/>
    <x v="10"/>
  </r>
  <r>
    <n v="5122"/>
    <d v="2025-02-13T00:00:00"/>
    <n v="1060"/>
    <s v="Karthik Sharma"/>
    <x v="2"/>
    <s v="Consumer"/>
    <x v="0"/>
    <x v="0"/>
    <n v="5"/>
    <n v="6000"/>
    <n v="10"/>
    <s v="Net Banking"/>
    <x v="55"/>
    <x v="3"/>
  </r>
  <r>
    <n v="5320"/>
    <d v="2025-04-27T00:00:00"/>
    <n v="1060"/>
    <s v="Karthik Sharma"/>
    <x v="2"/>
    <s v="Consumer"/>
    <x v="10"/>
    <x v="0"/>
    <n v="5"/>
    <n v="18000"/>
    <n v="0"/>
    <s v="Cash"/>
    <x v="100"/>
    <x v="0"/>
  </r>
  <r>
    <n v="5698"/>
    <d v="2025-09-22T00:00:00"/>
    <n v="1060"/>
    <s v="Karthik Sharma"/>
    <x v="2"/>
    <s v="Consumer"/>
    <x v="8"/>
    <x v="1"/>
    <n v="5"/>
    <n v="200"/>
    <n v="5"/>
    <s v="Credit Card"/>
    <x v="131"/>
    <x v="7"/>
  </r>
  <r>
    <n v="5739"/>
    <d v="2025-10-04T00:00:00"/>
    <n v="1060"/>
    <s v="Karthik Sharma"/>
    <x v="2"/>
    <s v="Consumer"/>
    <x v="11"/>
    <x v="0"/>
    <n v="5"/>
    <n v="9500"/>
    <n v="0"/>
    <s v="Credit Card"/>
    <x v="107"/>
    <x v="11"/>
  </r>
  <r>
    <n v="5873"/>
    <d v="2025-11-18T00:00:00"/>
    <n v="1060"/>
    <s v="Karthik Sharma"/>
    <x v="2"/>
    <s v="Consumer"/>
    <x v="2"/>
    <x v="0"/>
    <n v="5"/>
    <n v="55000"/>
    <n v="0"/>
    <s v="Credit Card"/>
    <x v="144"/>
    <x v="10"/>
  </r>
  <r>
    <n v="5259"/>
    <d v="2025-04-05T00:00:00"/>
    <n v="1060"/>
    <s v="Karthik Sharma"/>
    <x v="2"/>
    <s v="Consumer"/>
    <x v="11"/>
    <x v="0"/>
    <n v="4"/>
    <n v="9500"/>
    <n v="15"/>
    <s v="UPI"/>
    <x v="39"/>
    <x v="0"/>
  </r>
  <r>
    <n v="5447"/>
    <d v="2025-06-20T00:00:00"/>
    <n v="1060"/>
    <s v="Karthik Sharma"/>
    <x v="2"/>
    <s v="Consumer"/>
    <x v="1"/>
    <x v="0"/>
    <n v="4"/>
    <n v="2500"/>
    <n v="0"/>
    <s v="Net Banking"/>
    <x v="40"/>
    <x v="5"/>
  </r>
  <r>
    <n v="5918"/>
    <d v="2025-12-05T00:00:00"/>
    <n v="1060"/>
    <s v="Karthik Sharma"/>
    <x v="2"/>
    <s v="Consumer"/>
    <x v="7"/>
    <x v="0"/>
    <n v="4"/>
    <n v="12000"/>
    <n v="0"/>
    <s v="Net Banking"/>
    <x v="67"/>
    <x v="1"/>
  </r>
  <r>
    <n v="5036"/>
    <d v="2025-01-13T00:00:00"/>
    <n v="1060"/>
    <s v="Karthik Sharma"/>
    <x v="2"/>
    <s v="Consumer"/>
    <x v="6"/>
    <x v="2"/>
    <n v="3"/>
    <n v="900"/>
    <n v="5"/>
    <s v="UPI"/>
    <x v="127"/>
    <x v="9"/>
  </r>
  <r>
    <n v="5046"/>
    <d v="2025-01-16T00:00:00"/>
    <n v="1060"/>
    <s v="Karthik Sharma"/>
    <x v="2"/>
    <s v="Consumer"/>
    <x v="1"/>
    <x v="0"/>
    <n v="3"/>
    <n v="2500"/>
    <n v="0"/>
    <s v="Credit Card"/>
    <x v="2"/>
    <x v="9"/>
  </r>
  <r>
    <n v="5157"/>
    <d v="2025-02-22T00:00:00"/>
    <n v="1060"/>
    <s v="Karthik Sharma"/>
    <x v="2"/>
    <s v="Consumer"/>
    <x v="3"/>
    <x v="1"/>
    <n v="3"/>
    <n v="350"/>
    <n v="0"/>
    <s v="Debit Card"/>
    <x v="22"/>
    <x v="3"/>
  </r>
  <r>
    <n v="5407"/>
    <d v="2025-06-07T00:00:00"/>
    <n v="1060"/>
    <s v="Karthik Sharma"/>
    <x v="2"/>
    <s v="Consumer"/>
    <x v="7"/>
    <x v="0"/>
    <n v="3"/>
    <n v="12000"/>
    <n v="5"/>
    <s v="Net Banking"/>
    <x v="89"/>
    <x v="5"/>
  </r>
  <r>
    <n v="5528"/>
    <d v="2025-07-17T00:00:00"/>
    <n v="1060"/>
    <s v="Karthik Sharma"/>
    <x v="2"/>
    <s v="Consumer"/>
    <x v="9"/>
    <x v="2"/>
    <n v="3"/>
    <n v="7500"/>
    <n v="0"/>
    <s v="Credit Card"/>
    <x v="52"/>
    <x v="2"/>
  </r>
  <r>
    <n v="5662"/>
    <d v="2025-09-05T00:00:00"/>
    <n v="1060"/>
    <s v="Karthik Sharma"/>
    <x v="2"/>
    <s v="Consumer"/>
    <x v="9"/>
    <x v="2"/>
    <n v="3"/>
    <n v="7500"/>
    <n v="15"/>
    <s v="UPI"/>
    <x v="158"/>
    <x v="7"/>
  </r>
  <r>
    <n v="5270"/>
    <d v="2025-04-11T00:00:00"/>
    <n v="1060"/>
    <s v="Karthik Sharma"/>
    <x v="2"/>
    <s v="Consumer"/>
    <x v="7"/>
    <x v="0"/>
    <n v="2"/>
    <n v="12000"/>
    <n v="5"/>
    <s v="Debit Card"/>
    <x v="58"/>
    <x v="0"/>
  </r>
  <r>
    <n v="5326"/>
    <d v="2025-04-29T00:00:00"/>
    <n v="1060"/>
    <s v="Karthik Sharma"/>
    <x v="2"/>
    <s v="Consumer"/>
    <x v="3"/>
    <x v="1"/>
    <n v="2"/>
    <n v="350"/>
    <n v="10"/>
    <s v="Debit Card"/>
    <x v="92"/>
    <x v="0"/>
  </r>
  <r>
    <n v="5376"/>
    <d v="2025-05-24T00:00:00"/>
    <n v="1060"/>
    <s v="Karthik Sharma"/>
    <x v="2"/>
    <s v="Consumer"/>
    <x v="10"/>
    <x v="0"/>
    <n v="2"/>
    <n v="18000"/>
    <n v="0"/>
    <s v="UPI"/>
    <x v="72"/>
    <x v="8"/>
  </r>
  <r>
    <n v="5746"/>
    <d v="2025-10-07T00:00:00"/>
    <n v="1060"/>
    <s v="Karthik Sharma"/>
    <x v="2"/>
    <s v="Consumer"/>
    <x v="10"/>
    <x v="0"/>
    <n v="2"/>
    <n v="18000"/>
    <n v="15"/>
    <s v="Credit Card"/>
    <x v="112"/>
    <x v="11"/>
  </r>
  <r>
    <n v="5960"/>
    <d v="2025-12-18T00:00:00"/>
    <n v="1060"/>
    <s v="Karthik Sharma"/>
    <x v="2"/>
    <s v="Consumer"/>
    <x v="10"/>
    <x v="0"/>
    <n v="2"/>
    <n v="18000"/>
    <n v="0"/>
    <s v="Net Banking"/>
    <x v="72"/>
    <x v="1"/>
  </r>
  <r>
    <n v="5093"/>
    <d v="2025-02-04T00:00:00"/>
    <n v="1060"/>
    <s v="Karthik Sharma"/>
    <x v="2"/>
    <s v="Consumer"/>
    <x v="0"/>
    <x v="0"/>
    <n v="1"/>
    <n v="6000"/>
    <n v="0"/>
    <s v="Credit Card"/>
    <x v="98"/>
    <x v="3"/>
  </r>
  <r>
    <n v="5735"/>
    <d v="2025-10-01T00:00:00"/>
    <n v="1060"/>
    <s v="Karthik Sharma"/>
    <x v="2"/>
    <s v="Consumer"/>
    <x v="0"/>
    <x v="0"/>
    <n v="1"/>
    <n v="6000"/>
    <n v="0"/>
    <s v="Net Banking"/>
    <x v="98"/>
    <x v="11"/>
  </r>
  <r>
    <n v="5962"/>
    <d v="2025-12-18T00:00:00"/>
    <n v="1060"/>
    <s v="Karthik Sharma"/>
    <x v="2"/>
    <s v="Consumer"/>
    <x v="3"/>
    <x v="1"/>
    <n v="1"/>
    <n v="350"/>
    <n v="0"/>
    <s v="Cash"/>
    <x v="9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0296B3-1F71-44E2-A3A4-1DBA31BB573D}"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5" firstHeaderRow="1" firstDataRow="1" firstDataCol="1"/>
  <pivotFields count="14">
    <pivotField showAll="0"/>
    <pivotField numFmtId="14" showAll="0"/>
    <pivotField showAll="0"/>
    <pivotField showAll="0"/>
    <pivotField axis="axisRow" showAll="0">
      <items count="6">
        <item x="2"/>
        <item h="1" x="4"/>
        <item h="1" x="0"/>
        <item h="1" x="1"/>
        <item h="1" x="3"/>
        <item t="default"/>
      </items>
    </pivotField>
    <pivotField showAll="0"/>
    <pivotField showAll="0"/>
    <pivotField showAll="0"/>
    <pivotField showAll="0"/>
    <pivotField showAll="0"/>
    <pivotField showAll="0"/>
    <pivotField showAll="0"/>
    <pivotField dataField="1" showAll="0"/>
    <pivotField showAll="0">
      <items count="13">
        <item x="9"/>
        <item x="3"/>
        <item x="4"/>
        <item x="0"/>
        <item x="8"/>
        <item x="5"/>
        <item x="2"/>
        <item x="6"/>
        <item x="7"/>
        <item x="11"/>
        <item x="10"/>
        <item x="1"/>
        <item t="default"/>
      </items>
    </pivotField>
  </pivotFields>
  <rowFields count="1">
    <field x="4"/>
  </rowFields>
  <rowItems count="2">
    <i>
      <x/>
    </i>
    <i t="grand">
      <x/>
    </i>
  </rowItems>
  <colItems count="1">
    <i/>
  </colItems>
  <dataFields count="1">
    <dataField name="Sum of Revenue" fld="12" baseField="4" baseItem="0" numFmtId="4"/>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EA2C12-A63E-4B2A-9F60-9A8DCA491F61}"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4">
    <pivotField showAll="0"/>
    <pivotField numFmtId="14" showAll="0"/>
    <pivotField showAll="0"/>
    <pivotField showAll="0"/>
    <pivotField showAll="0">
      <items count="6">
        <item x="2"/>
        <item h="1" x="4"/>
        <item h="1" x="0"/>
        <item h="1" x="1"/>
        <item h="1" x="3"/>
        <item t="default"/>
      </items>
    </pivotField>
    <pivotField showAll="0"/>
    <pivotField showAll="0"/>
    <pivotField showAll="0"/>
    <pivotField showAll="0"/>
    <pivotField showAll="0"/>
    <pivotField showAll="0"/>
    <pivotField showAll="0"/>
    <pivotField dataField="1" showAll="0"/>
    <pivotField axis="axisRow" showAll="0">
      <items count="13">
        <item x="9"/>
        <item x="3"/>
        <item x="4"/>
        <item x="0"/>
        <item x="8"/>
        <item x="5"/>
        <item x="2"/>
        <item x="6"/>
        <item x="7"/>
        <item x="11"/>
        <item x="10"/>
        <item x="1"/>
        <item t="default"/>
      </items>
    </pivotField>
  </pivotFields>
  <rowFields count="1">
    <field x="13"/>
  </rowFields>
  <rowItems count="13">
    <i>
      <x/>
    </i>
    <i>
      <x v="1"/>
    </i>
    <i>
      <x v="2"/>
    </i>
    <i>
      <x v="3"/>
    </i>
    <i>
      <x v="4"/>
    </i>
    <i>
      <x v="5"/>
    </i>
    <i>
      <x v="6"/>
    </i>
    <i>
      <x v="7"/>
    </i>
    <i>
      <x v="8"/>
    </i>
    <i>
      <x v="9"/>
    </i>
    <i>
      <x v="10"/>
    </i>
    <i>
      <x v="11"/>
    </i>
    <i t="grand">
      <x/>
    </i>
  </rowItems>
  <colItems count="1">
    <i/>
  </colItems>
  <dataFields count="1">
    <dataField name="Sum of Revenue"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3718D7-73FC-40C5-AB04-59668DCB203B}"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4">
    <pivotField showAll="0"/>
    <pivotField numFmtId="14" showAll="0"/>
    <pivotField showAll="0"/>
    <pivotField showAll="0"/>
    <pivotField showAll="0">
      <items count="6">
        <item x="2"/>
        <item h="1" x="4"/>
        <item h="1" x="0"/>
        <item h="1" x="1"/>
        <item h="1" x="3"/>
        <item t="default"/>
      </items>
    </pivotField>
    <pivotField showAll="0"/>
    <pivotField showAll="0"/>
    <pivotField axis="axisRow" showAll="0">
      <items count="4">
        <item x="0"/>
        <item x="2"/>
        <item x="1"/>
        <item t="default"/>
      </items>
    </pivotField>
    <pivotField showAll="0"/>
    <pivotField showAll="0"/>
    <pivotField showAll="0"/>
    <pivotField showAll="0"/>
    <pivotField dataField="1" showAll="0">
      <items count="183">
        <item x="48"/>
        <item x="66"/>
        <item x="64"/>
        <item x="75"/>
        <item x="154"/>
        <item x="76"/>
        <item x="94"/>
        <item x="142"/>
        <item x="93"/>
        <item x="101"/>
        <item x="159"/>
        <item x="24"/>
        <item x="119"/>
        <item x="170"/>
        <item x="79"/>
        <item x="42"/>
        <item x="92"/>
        <item x="4"/>
        <item x="41"/>
        <item x="6"/>
        <item x="152"/>
        <item x="20"/>
        <item x="103"/>
        <item x="21"/>
        <item x="175"/>
        <item x="83"/>
        <item x="11"/>
        <item x="165"/>
        <item x="44"/>
        <item x="128"/>
        <item x="131"/>
        <item x="31"/>
        <item x="15"/>
        <item x="22"/>
        <item x="173"/>
        <item x="110"/>
        <item x="37"/>
        <item x="28"/>
        <item x="148"/>
        <item x="96"/>
        <item x="113"/>
        <item x="17"/>
        <item x="145"/>
        <item x="13"/>
        <item x="62"/>
        <item x="180"/>
        <item x="130"/>
        <item x="105"/>
        <item x="115"/>
        <item x="90"/>
        <item x="12"/>
        <item x="127"/>
        <item x="86"/>
        <item x="109"/>
        <item x="126"/>
        <item x="85"/>
        <item x="147"/>
        <item x="141"/>
        <item x="151"/>
        <item x="82"/>
        <item x="91"/>
        <item x="7"/>
        <item x="155"/>
        <item x="166"/>
        <item x="98"/>
        <item x="132"/>
        <item x="47"/>
        <item x="74"/>
        <item x="2"/>
        <item x="60"/>
        <item x="163"/>
        <item x="138"/>
        <item x="80"/>
        <item x="40"/>
        <item x="53"/>
        <item x="124"/>
        <item x="65"/>
        <item x="99"/>
        <item x="129"/>
        <item x="36"/>
        <item x="25"/>
        <item x="16"/>
        <item x="54"/>
        <item x="111"/>
        <item x="9"/>
        <item x="162"/>
        <item x="137"/>
        <item x="106"/>
        <item x="104"/>
        <item x="70"/>
        <item x="143"/>
        <item x="51"/>
        <item x="30"/>
        <item x="61"/>
        <item x="63"/>
        <item x="178"/>
        <item x="122"/>
        <item x="158"/>
        <item x="123"/>
        <item x="71"/>
        <item x="161"/>
        <item x="114"/>
        <item x="78"/>
        <item x="10"/>
        <item x="52"/>
        <item x="58"/>
        <item x="1"/>
        <item x="136"/>
        <item x="160"/>
        <item x="69"/>
        <item x="55"/>
        <item x="88"/>
        <item x="50"/>
        <item x="73"/>
        <item x="0"/>
        <item x="112"/>
        <item x="56"/>
        <item x="5"/>
        <item x="39"/>
        <item x="140"/>
        <item x="102"/>
        <item x="89"/>
        <item x="95"/>
        <item x="72"/>
        <item x="135"/>
        <item x="174"/>
        <item x="27"/>
        <item x="59"/>
        <item x="97"/>
        <item x="118"/>
        <item x="146"/>
        <item x="81"/>
        <item x="121"/>
        <item x="177"/>
        <item x="125"/>
        <item x="29"/>
        <item x="33"/>
        <item x="179"/>
        <item x="107"/>
        <item x="67"/>
        <item x="133"/>
        <item x="87"/>
        <item x="43"/>
        <item x="45"/>
        <item x="176"/>
        <item x="8"/>
        <item x="139"/>
        <item x="14"/>
        <item x="171"/>
        <item x="172"/>
        <item x="35"/>
        <item x="84"/>
        <item x="156"/>
        <item x="164"/>
        <item x="18"/>
        <item x="150"/>
        <item x="32"/>
        <item x="134"/>
        <item x="181"/>
        <item x="46"/>
        <item x="169"/>
        <item x="120"/>
        <item x="153"/>
        <item x="68"/>
        <item x="26"/>
        <item x="116"/>
        <item x="167"/>
        <item x="149"/>
        <item x="19"/>
        <item x="100"/>
        <item x="77"/>
        <item x="34"/>
        <item x="168"/>
        <item x="49"/>
        <item x="157"/>
        <item x="3"/>
        <item x="23"/>
        <item x="108"/>
        <item x="38"/>
        <item x="117"/>
        <item x="57"/>
        <item x="144"/>
        <item t="default"/>
      </items>
    </pivotField>
    <pivotField showAll="0"/>
  </pivotFields>
  <rowFields count="1">
    <field x="7"/>
  </rowFields>
  <rowItems count="4">
    <i>
      <x/>
    </i>
    <i>
      <x v="1"/>
    </i>
    <i>
      <x v="2"/>
    </i>
    <i t="grand">
      <x/>
    </i>
  </rowItems>
  <colItems count="1">
    <i/>
  </colItems>
  <dataFields count="1">
    <dataField name="Sum of Revenue" fld="12" baseField="0" baseItem="0"/>
  </dataFields>
  <chartFormats count="5">
    <chartFormat chart="0" format="182"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394380-5FA3-450F-A53D-15297BE690FC}"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4">
    <pivotField showAll="0"/>
    <pivotField numFmtId="14" showAll="0"/>
    <pivotField showAll="0"/>
    <pivotField showAll="0"/>
    <pivotField showAll="0">
      <items count="6">
        <item x="2"/>
        <item h="1" x="4"/>
        <item h="1" x="0"/>
        <item h="1" x="1"/>
        <item h="1" x="3"/>
        <item t="default"/>
      </items>
    </pivotField>
    <pivotField showAll="0"/>
    <pivotField axis="axisRow" showAll="0">
      <items count="13">
        <item x="6"/>
        <item x="1"/>
        <item x="2"/>
        <item x="7"/>
        <item x="3"/>
        <item x="9"/>
        <item x="8"/>
        <item x="11"/>
        <item x="5"/>
        <item x="0"/>
        <item x="4"/>
        <item x="10"/>
        <item t="default"/>
      </items>
    </pivotField>
    <pivotField showAll="0"/>
    <pivotField showAll="0"/>
    <pivotField showAll="0"/>
    <pivotField showAll="0"/>
    <pivotField showAll="0"/>
    <pivotField dataField="1" showAll="0"/>
    <pivotField showAll="0"/>
  </pivotFields>
  <rowFields count="1">
    <field x="6"/>
  </rowFields>
  <rowItems count="13">
    <i>
      <x/>
    </i>
    <i>
      <x v="1"/>
    </i>
    <i>
      <x v="2"/>
    </i>
    <i>
      <x v="3"/>
    </i>
    <i>
      <x v="4"/>
    </i>
    <i>
      <x v="5"/>
    </i>
    <i>
      <x v="6"/>
    </i>
    <i>
      <x v="7"/>
    </i>
    <i>
      <x v="8"/>
    </i>
    <i>
      <x v="9"/>
    </i>
    <i>
      <x v="10"/>
    </i>
    <i>
      <x v="11"/>
    </i>
    <i t="grand">
      <x/>
    </i>
  </rowItems>
  <colItems count="1">
    <i/>
  </colItems>
  <dataFields count="1">
    <dataField name="Sum of Revenue" fld="12" baseField="0" baseItem="0"/>
  </dataFields>
  <conditionalFormats count="1">
    <conditionalFormat priority="2">
      <pivotAreas count="1">
        <pivotArea type="data" collapsedLevelsAreSubtotals="1" fieldPosition="0">
          <references count="2">
            <reference field="4294967294" count="1" selected="0">
              <x v="0"/>
            </reference>
            <reference field="6" count="12">
              <x v="0"/>
              <x v="1"/>
              <x v="2"/>
              <x v="3"/>
              <x v="4"/>
              <x v="5"/>
              <x v="6"/>
              <x v="7"/>
              <x v="8"/>
              <x v="9"/>
              <x v="10"/>
              <x v="11"/>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F243D36-0D7B-4050-8A65-C960075F426B}" sourceName="region">
  <pivotTables>
    <pivotTable tabId="2" name="PivotTable1"/>
    <pivotTable tabId="3" name="PivotTable2"/>
    <pivotTable tabId="4" name="PivotTable3"/>
    <pivotTable tabId="5" name="PivotTable4"/>
  </pivotTables>
  <data>
    <tabular pivotCacheId="1665104600">
      <items count="5">
        <i x="2" s="1"/>
        <i x="4"/>
        <i x="0"/>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EF8FCFC-6FF2-4562-9EC0-873F4C2728DA}"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B244E3-5C47-4672-95FB-60B478406223}" name="Table1" displayName="Table1" ref="A1:N972" totalsRowShown="0">
  <autoFilter ref="A1:N972" xr:uid="{3EB244E3-5C47-4672-95FB-60B478406223}"/>
  <sortState xmlns:xlrd2="http://schemas.microsoft.com/office/spreadsheetml/2017/richdata2" ref="A2:N972">
    <sortCondition ref="C1:C972"/>
  </sortState>
  <tableColumns count="14">
    <tableColumn id="1" xr3:uid="{9B46F601-3A5A-4870-A890-B9D4EF660E33}" name="order_id"/>
    <tableColumn id="2" xr3:uid="{5DD56DA7-E5EE-450A-8C88-4CACE38990C6}" name="order_date" dataDxfId="2"/>
    <tableColumn id="3" xr3:uid="{3BE188B9-9AEE-4B53-A789-CD2182D5E3B4}" name="customer_id"/>
    <tableColumn id="4" xr3:uid="{A0246DC5-A382-4491-A695-74F503DB79D4}" name="customer_name"/>
    <tableColumn id="5" xr3:uid="{10E3B4BA-0525-4CE0-AA6B-6B15081EB9BC}" name="region"/>
    <tableColumn id="6" xr3:uid="{57A5A205-8BFA-4D70-83AA-FC6BD8CDB3AC}" name="segment"/>
    <tableColumn id="7" xr3:uid="{BF368FDD-A660-423E-8408-0B28C94BDACB}" name="product_name"/>
    <tableColumn id="8" xr3:uid="{DBF9D2F8-2734-4376-8F2F-F0A94AC93CFB}" name="category"/>
    <tableColumn id="9" xr3:uid="{487834C8-7288-468C-8693-55B13356ADEB}" name="quantity"/>
    <tableColumn id="10" xr3:uid="{4B3EF4E8-29DF-4334-8CDB-84201CEB38BD}" name="unit_price"/>
    <tableColumn id="11" xr3:uid="{258AB7F9-D6B1-4B8E-BAF1-FC8E9E0CCEAB}" name="discount_pct"/>
    <tableColumn id="12" xr3:uid="{AE81CF69-B3A1-4FEA-8F5E-5359B3B9B3E7}" name="payment_mode"/>
    <tableColumn id="13" xr3:uid="{492B7A83-E7A3-41CD-911B-5458CCA0E48E}" name="Revenue" dataDxfId="1">
      <calculatedColumnFormula>I2*J2*(1-K2/100)</calculatedColumnFormula>
    </tableColumn>
    <tableColumn id="14" xr3:uid="{ED6A32F5-53F7-4F8D-9189-194A41E8F319}" name="Month" dataDxfId="0">
      <calculatedColumnFormula>TEXT(B2,"yyyy-mm")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39A5D-204D-4A20-B2D3-0D8DAD692D62}">
  <dimension ref="A1:N972"/>
  <sheetViews>
    <sheetView topLeftCell="A5" workbookViewId="0">
      <selection activeCell="I1" sqref="I1:I1048576"/>
    </sheetView>
  </sheetViews>
  <sheetFormatPr defaultRowHeight="14.4" x14ac:dyDescent="0.3"/>
  <cols>
    <col min="1" max="1" width="10" customWidth="1"/>
    <col min="2" max="2" width="12.21875" customWidth="1"/>
    <col min="3" max="3" width="13.33203125" customWidth="1"/>
    <col min="4" max="4" width="16.5546875" customWidth="1"/>
    <col min="6" max="6" width="10.109375" customWidth="1"/>
    <col min="7" max="7" width="15.33203125" customWidth="1"/>
    <col min="8" max="8" width="10.21875" customWidth="1"/>
    <col min="9" max="9" width="10" customWidth="1"/>
    <col min="10" max="10" width="11.33203125" customWidth="1"/>
    <col min="11" max="11" width="13.77734375" customWidth="1"/>
    <col min="12" max="12" width="16.33203125" customWidth="1"/>
  </cols>
  <sheetData>
    <row r="1" spans="1:14" x14ac:dyDescent="0.3">
      <c r="A1" t="s">
        <v>0</v>
      </c>
      <c r="B1" t="s">
        <v>1</v>
      </c>
      <c r="C1" t="s">
        <v>2</v>
      </c>
      <c r="D1" t="s">
        <v>3</v>
      </c>
      <c r="E1" t="s">
        <v>4</v>
      </c>
      <c r="F1" t="s">
        <v>5</v>
      </c>
      <c r="G1" t="s">
        <v>6</v>
      </c>
      <c r="H1" t="s">
        <v>7</v>
      </c>
      <c r="I1" t="s">
        <v>8</v>
      </c>
      <c r="J1" t="s">
        <v>9</v>
      </c>
      <c r="K1" t="s">
        <v>10</v>
      </c>
      <c r="L1" t="s">
        <v>11</v>
      </c>
      <c r="M1" t="s">
        <v>88</v>
      </c>
      <c r="N1" t="s">
        <v>89</v>
      </c>
    </row>
    <row r="2" spans="1:14" x14ac:dyDescent="0.3">
      <c r="A2">
        <v>5250</v>
      </c>
      <c r="B2" s="1">
        <v>45748</v>
      </c>
      <c r="C2">
        <v>1001</v>
      </c>
      <c r="D2" t="s">
        <v>80</v>
      </c>
      <c r="E2" t="s">
        <v>33</v>
      </c>
      <c r="F2" t="s">
        <v>14</v>
      </c>
      <c r="G2" t="s">
        <v>52</v>
      </c>
      <c r="H2" t="s">
        <v>16</v>
      </c>
      <c r="I2">
        <v>5</v>
      </c>
      <c r="J2">
        <v>6000</v>
      </c>
      <c r="K2">
        <v>0</v>
      </c>
      <c r="L2" t="s">
        <v>17</v>
      </c>
      <c r="M2">
        <f>I2*J2*(1-K2/100)</f>
        <v>30000</v>
      </c>
      <c r="N2" t="str">
        <f>TEXT(B2,"yyyy-mm")</f>
        <v>2025-04</v>
      </c>
    </row>
    <row r="3" spans="1:14" x14ac:dyDescent="0.3">
      <c r="A3">
        <v>5959</v>
      </c>
      <c r="B3" s="1">
        <v>46009</v>
      </c>
      <c r="C3">
        <v>1001</v>
      </c>
      <c r="D3" t="s">
        <v>80</v>
      </c>
      <c r="E3" t="s">
        <v>33</v>
      </c>
      <c r="F3" t="s">
        <v>14</v>
      </c>
      <c r="G3" t="s">
        <v>52</v>
      </c>
      <c r="H3" t="s">
        <v>16</v>
      </c>
      <c r="I3">
        <v>4</v>
      </c>
      <c r="J3">
        <v>6000</v>
      </c>
      <c r="K3">
        <v>0</v>
      </c>
      <c r="L3" t="s">
        <v>34</v>
      </c>
      <c r="M3">
        <f>I3*J3*(1-K3/100)</f>
        <v>24000</v>
      </c>
      <c r="N3" t="str">
        <f>TEXT(B3,"yyyy-mm")</f>
        <v>2025-12</v>
      </c>
    </row>
    <row r="4" spans="1:14" x14ac:dyDescent="0.3">
      <c r="A4">
        <v>5507</v>
      </c>
      <c r="B4" s="1">
        <v>45848</v>
      </c>
      <c r="C4">
        <v>1001</v>
      </c>
      <c r="D4" t="s">
        <v>80</v>
      </c>
      <c r="E4" t="s">
        <v>33</v>
      </c>
      <c r="F4" t="s">
        <v>14</v>
      </c>
      <c r="G4" t="s">
        <v>55</v>
      </c>
      <c r="H4" t="s">
        <v>16</v>
      </c>
      <c r="I4">
        <v>3</v>
      </c>
      <c r="J4">
        <v>2500</v>
      </c>
      <c r="K4">
        <v>0</v>
      </c>
      <c r="L4" t="s">
        <v>20</v>
      </c>
      <c r="M4">
        <f>I4*J4*(1-K4/100)</f>
        <v>7500</v>
      </c>
      <c r="N4" t="str">
        <f>TEXT(B4,"yyyy-mm")</f>
        <v>2025-07</v>
      </c>
    </row>
    <row r="5" spans="1:14" x14ac:dyDescent="0.3">
      <c r="A5">
        <v>5902</v>
      </c>
      <c r="B5" s="1">
        <v>45993</v>
      </c>
      <c r="C5">
        <v>1001</v>
      </c>
      <c r="D5" t="s">
        <v>80</v>
      </c>
      <c r="E5" t="s">
        <v>33</v>
      </c>
      <c r="F5" t="s">
        <v>14</v>
      </c>
      <c r="G5" t="s">
        <v>36</v>
      </c>
      <c r="H5" t="s">
        <v>16</v>
      </c>
      <c r="I5">
        <v>3</v>
      </c>
      <c r="J5">
        <v>55000</v>
      </c>
      <c r="K5">
        <v>5</v>
      </c>
      <c r="L5" t="s">
        <v>20</v>
      </c>
      <c r="M5">
        <f>I5*J5*(1-K5/100)</f>
        <v>156750</v>
      </c>
      <c r="N5" t="str">
        <f>TEXT(B5,"yyyy-mm")</f>
        <v>2025-12</v>
      </c>
    </row>
    <row r="6" spans="1:14" x14ac:dyDescent="0.3">
      <c r="A6">
        <v>5109</v>
      </c>
      <c r="B6" s="1">
        <v>45697</v>
      </c>
      <c r="C6">
        <v>1001</v>
      </c>
      <c r="D6" t="s">
        <v>80</v>
      </c>
      <c r="E6" t="s">
        <v>33</v>
      </c>
      <c r="F6" t="s">
        <v>14</v>
      </c>
      <c r="G6" t="s">
        <v>30</v>
      </c>
      <c r="H6" t="s">
        <v>31</v>
      </c>
      <c r="I6">
        <v>2</v>
      </c>
      <c r="J6">
        <v>350</v>
      </c>
      <c r="K6">
        <v>5</v>
      </c>
      <c r="L6" t="s">
        <v>34</v>
      </c>
      <c r="M6">
        <f>I6*J6*(1-K6/100)</f>
        <v>665</v>
      </c>
      <c r="N6" t="str">
        <f>TEXT(B6,"yyyy-mm")</f>
        <v>2025-02</v>
      </c>
    </row>
    <row r="7" spans="1:14" x14ac:dyDescent="0.3">
      <c r="A7">
        <v>5182</v>
      </c>
      <c r="B7" s="1">
        <v>45718</v>
      </c>
      <c r="C7">
        <v>1001</v>
      </c>
      <c r="D7" t="s">
        <v>80</v>
      </c>
      <c r="E7" t="s">
        <v>33</v>
      </c>
      <c r="F7" t="s">
        <v>14</v>
      </c>
      <c r="G7" t="s">
        <v>57</v>
      </c>
      <c r="H7" t="s">
        <v>38</v>
      </c>
      <c r="I7">
        <v>2</v>
      </c>
      <c r="J7">
        <v>16000</v>
      </c>
      <c r="K7">
        <v>0</v>
      </c>
      <c r="L7" t="s">
        <v>20</v>
      </c>
      <c r="M7">
        <f>I7*J7*(1-K7/100)</f>
        <v>32000</v>
      </c>
      <c r="N7" t="str">
        <f>TEXT(B7,"yyyy-mm")</f>
        <v>2025-03</v>
      </c>
    </row>
    <row r="8" spans="1:14" x14ac:dyDescent="0.3">
      <c r="A8">
        <v>5188</v>
      </c>
      <c r="B8" s="1">
        <v>45721</v>
      </c>
      <c r="C8">
        <v>1001</v>
      </c>
      <c r="D8" t="s">
        <v>80</v>
      </c>
      <c r="E8" t="s">
        <v>87</v>
      </c>
      <c r="F8" t="s">
        <v>14</v>
      </c>
      <c r="G8" t="s">
        <v>30</v>
      </c>
      <c r="H8" t="s">
        <v>31</v>
      </c>
      <c r="I8">
        <v>2</v>
      </c>
      <c r="J8">
        <v>350</v>
      </c>
      <c r="K8">
        <v>0</v>
      </c>
      <c r="L8" t="s">
        <v>34</v>
      </c>
      <c r="M8">
        <f>I8*J8*(1-K8/100)</f>
        <v>700</v>
      </c>
      <c r="N8" t="str">
        <f>TEXT(B8,"yyyy-mm")</f>
        <v>2025-03</v>
      </c>
    </row>
    <row r="9" spans="1:14" x14ac:dyDescent="0.3">
      <c r="A9">
        <v>5439</v>
      </c>
      <c r="B9" s="1">
        <v>45825</v>
      </c>
      <c r="C9">
        <v>1001</v>
      </c>
      <c r="D9" t="s">
        <v>80</v>
      </c>
      <c r="E9" t="s">
        <v>33</v>
      </c>
      <c r="F9" t="s">
        <v>14</v>
      </c>
      <c r="G9" t="s">
        <v>55</v>
      </c>
      <c r="H9" t="s">
        <v>16</v>
      </c>
      <c r="I9">
        <v>2</v>
      </c>
      <c r="J9">
        <v>2500</v>
      </c>
      <c r="K9">
        <v>0</v>
      </c>
      <c r="L9" t="s">
        <v>17</v>
      </c>
      <c r="M9">
        <f>I9*J9*(1-K9/100)</f>
        <v>5000</v>
      </c>
      <c r="N9" t="str">
        <f>TEXT(B9,"yyyy-mm")</f>
        <v>2025-06</v>
      </c>
    </row>
    <row r="10" spans="1:14" x14ac:dyDescent="0.3">
      <c r="A10">
        <v>5649</v>
      </c>
      <c r="B10" s="1">
        <v>45900</v>
      </c>
      <c r="C10">
        <v>1001</v>
      </c>
      <c r="D10" t="s">
        <v>80</v>
      </c>
      <c r="E10" t="s">
        <v>33</v>
      </c>
      <c r="F10" t="s">
        <v>14</v>
      </c>
      <c r="G10" t="s">
        <v>30</v>
      </c>
      <c r="H10" t="s">
        <v>31</v>
      </c>
      <c r="I10">
        <v>2</v>
      </c>
      <c r="J10">
        <v>350</v>
      </c>
      <c r="K10">
        <v>0</v>
      </c>
      <c r="L10" t="s">
        <v>34</v>
      </c>
      <c r="M10">
        <f>I10*J10*(1-K10/100)</f>
        <v>700</v>
      </c>
      <c r="N10" t="str">
        <f>TEXT(B10,"yyyy-mm")</f>
        <v>2025-08</v>
      </c>
    </row>
    <row r="11" spans="1:14" x14ac:dyDescent="0.3">
      <c r="A11">
        <v>5696</v>
      </c>
      <c r="B11" s="1">
        <v>45921</v>
      </c>
      <c r="C11">
        <v>1001</v>
      </c>
      <c r="D11" t="s">
        <v>80</v>
      </c>
      <c r="E11" t="s">
        <v>33</v>
      </c>
      <c r="F11" t="s">
        <v>14</v>
      </c>
      <c r="G11" t="s">
        <v>30</v>
      </c>
      <c r="H11" t="s">
        <v>31</v>
      </c>
      <c r="I11">
        <v>2</v>
      </c>
      <c r="J11">
        <v>350</v>
      </c>
      <c r="K11">
        <v>5</v>
      </c>
      <c r="L11" t="s">
        <v>34</v>
      </c>
      <c r="M11">
        <f>I11*J11*(1-K11/100)</f>
        <v>665</v>
      </c>
      <c r="N11" t="str">
        <f>TEXT(B11,"yyyy-mm")</f>
        <v>2025-09</v>
      </c>
    </row>
    <row r="12" spans="1:14" x14ac:dyDescent="0.3">
      <c r="A12">
        <v>5232</v>
      </c>
      <c r="B12" s="1">
        <v>45744</v>
      </c>
      <c r="C12">
        <v>1001</v>
      </c>
      <c r="D12" t="s">
        <v>80</v>
      </c>
      <c r="E12" t="s">
        <v>33</v>
      </c>
      <c r="F12" t="s">
        <v>14</v>
      </c>
      <c r="G12" t="s">
        <v>36</v>
      </c>
      <c r="H12" t="s">
        <v>16</v>
      </c>
      <c r="I12">
        <v>1</v>
      </c>
      <c r="J12">
        <v>55000</v>
      </c>
      <c r="K12">
        <v>0</v>
      </c>
      <c r="L12" t="s">
        <v>17</v>
      </c>
      <c r="M12">
        <f>I12*J12*(1-K12/100)</f>
        <v>55000</v>
      </c>
      <c r="N12" t="str">
        <f>TEXT(B12,"yyyy-mm")</f>
        <v>2025-03</v>
      </c>
    </row>
    <row r="13" spans="1:14" x14ac:dyDescent="0.3">
      <c r="A13">
        <v>5324</v>
      </c>
      <c r="B13" s="1">
        <v>45775</v>
      </c>
      <c r="C13">
        <v>1001</v>
      </c>
      <c r="D13" t="s">
        <v>80</v>
      </c>
      <c r="E13" t="s">
        <v>33</v>
      </c>
      <c r="F13" t="s">
        <v>14</v>
      </c>
      <c r="G13" t="s">
        <v>57</v>
      </c>
      <c r="H13" t="s">
        <v>38</v>
      </c>
      <c r="I13">
        <v>1</v>
      </c>
      <c r="J13">
        <v>16000</v>
      </c>
      <c r="K13">
        <v>15</v>
      </c>
      <c r="L13" t="s">
        <v>43</v>
      </c>
      <c r="M13">
        <f>I13*J13*(1-K13/100)</f>
        <v>13600</v>
      </c>
      <c r="N13" t="str">
        <f>TEXT(B13,"yyyy-mm")</f>
        <v>2025-04</v>
      </c>
    </row>
    <row r="14" spans="1:14" x14ac:dyDescent="0.3">
      <c r="A14">
        <v>5382</v>
      </c>
      <c r="B14" s="1">
        <v>45806</v>
      </c>
      <c r="C14">
        <v>1001</v>
      </c>
      <c r="D14" t="s">
        <v>80</v>
      </c>
      <c r="E14" t="s">
        <v>33</v>
      </c>
      <c r="F14" t="s">
        <v>14</v>
      </c>
      <c r="G14" t="s">
        <v>24</v>
      </c>
      <c r="H14" t="s">
        <v>16</v>
      </c>
      <c r="I14">
        <v>1</v>
      </c>
      <c r="J14">
        <v>22000</v>
      </c>
      <c r="K14">
        <v>0</v>
      </c>
      <c r="L14" t="s">
        <v>17</v>
      </c>
      <c r="M14">
        <f>I14*J14*(1-K14/100)</f>
        <v>22000</v>
      </c>
      <c r="N14" t="str">
        <f>TEXT(B14,"yyyy-mm")</f>
        <v>2025-05</v>
      </c>
    </row>
    <row r="15" spans="1:14" x14ac:dyDescent="0.3">
      <c r="A15">
        <v>5463</v>
      </c>
      <c r="B15" s="1">
        <v>45835</v>
      </c>
      <c r="C15">
        <v>1001</v>
      </c>
      <c r="D15" t="s">
        <v>80</v>
      </c>
      <c r="E15" t="s">
        <v>33</v>
      </c>
      <c r="F15" t="s">
        <v>14</v>
      </c>
      <c r="G15" t="s">
        <v>40</v>
      </c>
      <c r="H15" t="s">
        <v>38</v>
      </c>
      <c r="I15">
        <v>1</v>
      </c>
      <c r="J15">
        <v>900</v>
      </c>
      <c r="K15">
        <v>5</v>
      </c>
      <c r="L15" t="s">
        <v>34</v>
      </c>
      <c r="M15">
        <f>I15*J15*(1-K15/100)</f>
        <v>855</v>
      </c>
      <c r="N15" t="str">
        <f>TEXT(B15,"yyyy-mm")</f>
        <v>2025-06</v>
      </c>
    </row>
    <row r="16" spans="1:14" x14ac:dyDescent="0.3">
      <c r="A16">
        <v>5613</v>
      </c>
      <c r="B16" s="1">
        <v>45889</v>
      </c>
      <c r="C16">
        <v>1001</v>
      </c>
      <c r="D16" t="s">
        <v>80</v>
      </c>
      <c r="E16" t="s">
        <v>33</v>
      </c>
      <c r="F16" t="s">
        <v>14</v>
      </c>
      <c r="G16" t="s">
        <v>55</v>
      </c>
      <c r="H16" t="s">
        <v>16</v>
      </c>
      <c r="I16">
        <v>1</v>
      </c>
      <c r="J16">
        <v>2500</v>
      </c>
      <c r="K16">
        <v>0</v>
      </c>
      <c r="L16" t="s">
        <v>20</v>
      </c>
      <c r="M16">
        <f>I16*J16*(1-K16/100)</f>
        <v>2500</v>
      </c>
      <c r="N16" t="str">
        <f>TEXT(B16,"yyyy-mm")</f>
        <v>2025-08</v>
      </c>
    </row>
    <row r="17" spans="1:14" x14ac:dyDescent="0.3">
      <c r="A17">
        <v>5066</v>
      </c>
      <c r="B17" s="1">
        <v>45679</v>
      </c>
      <c r="C17">
        <v>1002</v>
      </c>
      <c r="D17" t="s">
        <v>71</v>
      </c>
      <c r="E17" t="s">
        <v>22</v>
      </c>
      <c r="F17" t="s">
        <v>27</v>
      </c>
      <c r="G17" t="s">
        <v>30</v>
      </c>
      <c r="H17" t="s">
        <v>31</v>
      </c>
      <c r="I17">
        <v>5</v>
      </c>
      <c r="J17">
        <v>350</v>
      </c>
      <c r="K17">
        <v>0</v>
      </c>
      <c r="L17" t="s">
        <v>34</v>
      </c>
      <c r="M17">
        <f>I17*J17*(1-K17/100)</f>
        <v>1750</v>
      </c>
      <c r="N17" t="str">
        <f>TEXT(B17,"yyyy-mm")</f>
        <v>2025-01</v>
      </c>
    </row>
    <row r="18" spans="1:14" x14ac:dyDescent="0.3">
      <c r="A18">
        <v>5352</v>
      </c>
      <c r="B18" s="1">
        <v>45792</v>
      </c>
      <c r="C18">
        <v>1002</v>
      </c>
      <c r="D18" t="s">
        <v>71</v>
      </c>
      <c r="E18" t="s">
        <v>22</v>
      </c>
      <c r="F18" t="s">
        <v>27</v>
      </c>
      <c r="G18" t="s">
        <v>65</v>
      </c>
      <c r="H18" t="s">
        <v>16</v>
      </c>
      <c r="I18">
        <v>5</v>
      </c>
      <c r="J18">
        <v>12000</v>
      </c>
      <c r="K18">
        <v>5</v>
      </c>
      <c r="L18" t="s">
        <v>34</v>
      </c>
      <c r="M18">
        <f>I18*J18*(1-K18/100)</f>
        <v>57000</v>
      </c>
      <c r="N18" t="str">
        <f>TEXT(B18,"yyyy-mm")</f>
        <v>2025-05</v>
      </c>
    </row>
    <row r="19" spans="1:14" x14ac:dyDescent="0.3">
      <c r="A19">
        <v>5569</v>
      </c>
      <c r="B19" s="1">
        <v>45872</v>
      </c>
      <c r="C19">
        <v>1002</v>
      </c>
      <c r="D19" t="s">
        <v>71</v>
      </c>
      <c r="E19" t="s">
        <v>22</v>
      </c>
      <c r="F19" t="s">
        <v>27</v>
      </c>
      <c r="G19" t="s">
        <v>42</v>
      </c>
      <c r="H19" t="s">
        <v>31</v>
      </c>
      <c r="I19">
        <v>5</v>
      </c>
      <c r="J19">
        <v>200</v>
      </c>
      <c r="K19">
        <v>0</v>
      </c>
      <c r="L19" t="s">
        <v>17</v>
      </c>
      <c r="M19">
        <f>I19*J19*(1-K19/100)</f>
        <v>1000</v>
      </c>
      <c r="N19" t="str">
        <f>TEXT(B19,"yyyy-mm")</f>
        <v>2025-08</v>
      </c>
    </row>
    <row r="20" spans="1:14" x14ac:dyDescent="0.3">
      <c r="A20">
        <v>5923</v>
      </c>
      <c r="B20" s="1">
        <v>45997</v>
      </c>
      <c r="C20">
        <v>1002</v>
      </c>
      <c r="D20" t="s">
        <v>71</v>
      </c>
      <c r="E20" t="s">
        <v>22</v>
      </c>
      <c r="F20" t="s">
        <v>27</v>
      </c>
      <c r="G20" t="s">
        <v>55</v>
      </c>
      <c r="H20" t="s">
        <v>16</v>
      </c>
      <c r="I20">
        <v>5</v>
      </c>
      <c r="J20">
        <v>2500</v>
      </c>
      <c r="K20">
        <v>0</v>
      </c>
      <c r="L20" t="s">
        <v>17</v>
      </c>
      <c r="M20">
        <f>I20*J20*(1-K20/100)</f>
        <v>12500</v>
      </c>
      <c r="N20" t="str">
        <f>TEXT(B20,"yyyy-mm")</f>
        <v>2025-12</v>
      </c>
    </row>
    <row r="21" spans="1:14" x14ac:dyDescent="0.3">
      <c r="A21">
        <v>5961</v>
      </c>
      <c r="B21" s="1">
        <v>46009</v>
      </c>
      <c r="C21">
        <v>1002</v>
      </c>
      <c r="D21" t="s">
        <v>71</v>
      </c>
      <c r="E21" t="s">
        <v>22</v>
      </c>
      <c r="F21" t="s">
        <v>27</v>
      </c>
      <c r="G21" t="s">
        <v>30</v>
      </c>
      <c r="H21" t="s">
        <v>31</v>
      </c>
      <c r="I21">
        <v>5</v>
      </c>
      <c r="J21">
        <v>350</v>
      </c>
      <c r="K21">
        <v>5</v>
      </c>
      <c r="L21" t="s">
        <v>17</v>
      </c>
      <c r="M21">
        <f>I21*J21*(1-K21/100)</f>
        <v>1662.5</v>
      </c>
      <c r="N21" t="str">
        <f>TEXT(B21,"yyyy-mm")</f>
        <v>2025-12</v>
      </c>
    </row>
    <row r="22" spans="1:14" x14ac:dyDescent="0.3">
      <c r="A22">
        <v>5193</v>
      </c>
      <c r="B22" s="1">
        <v>45722</v>
      </c>
      <c r="C22">
        <v>1002</v>
      </c>
      <c r="D22" t="s">
        <v>71</v>
      </c>
      <c r="E22" t="s">
        <v>22</v>
      </c>
      <c r="F22" t="s">
        <v>27</v>
      </c>
      <c r="G22" t="s">
        <v>57</v>
      </c>
      <c r="H22" t="s">
        <v>38</v>
      </c>
      <c r="I22">
        <v>4</v>
      </c>
      <c r="J22">
        <v>16000</v>
      </c>
      <c r="K22">
        <v>0</v>
      </c>
      <c r="L22" t="s">
        <v>20</v>
      </c>
      <c r="M22">
        <f>I22*J22*(1-K22/100)</f>
        <v>64000</v>
      </c>
      <c r="N22" t="str">
        <f>TEXT(B22,"yyyy-mm")</f>
        <v>2025-03</v>
      </c>
    </row>
    <row r="23" spans="1:14" x14ac:dyDescent="0.3">
      <c r="A23">
        <v>5294</v>
      </c>
      <c r="B23" s="1">
        <v>45767</v>
      </c>
      <c r="C23">
        <v>1002</v>
      </c>
      <c r="D23" t="s">
        <v>71</v>
      </c>
      <c r="E23" t="s">
        <v>22</v>
      </c>
      <c r="F23" t="s">
        <v>27</v>
      </c>
      <c r="G23" t="s">
        <v>24</v>
      </c>
      <c r="H23" t="s">
        <v>16</v>
      </c>
      <c r="I23">
        <v>4</v>
      </c>
      <c r="J23">
        <v>22000</v>
      </c>
      <c r="K23">
        <v>0</v>
      </c>
      <c r="L23" t="s">
        <v>17</v>
      </c>
      <c r="M23">
        <f>I23*J23*(1-K23/100)</f>
        <v>88000</v>
      </c>
      <c r="N23" t="str">
        <f>TEXT(B23,"yyyy-mm")</f>
        <v>2025-04</v>
      </c>
    </row>
    <row r="24" spans="1:14" x14ac:dyDescent="0.3">
      <c r="A24">
        <v>5838</v>
      </c>
      <c r="B24" s="1">
        <v>45966</v>
      </c>
      <c r="C24">
        <v>1002</v>
      </c>
      <c r="D24" t="s">
        <v>71</v>
      </c>
      <c r="E24" t="s">
        <v>22</v>
      </c>
      <c r="F24" t="s">
        <v>27</v>
      </c>
      <c r="G24" t="s">
        <v>42</v>
      </c>
      <c r="H24" t="s">
        <v>31</v>
      </c>
      <c r="I24">
        <v>4</v>
      </c>
      <c r="J24">
        <v>200</v>
      </c>
      <c r="K24">
        <v>5</v>
      </c>
      <c r="L24" t="s">
        <v>25</v>
      </c>
      <c r="M24">
        <f>I24*J24*(1-K24/100)</f>
        <v>760</v>
      </c>
      <c r="N24" t="str">
        <f>TEXT(B24,"yyyy-mm")</f>
        <v>2025-11</v>
      </c>
    </row>
    <row r="25" spans="1:14" x14ac:dyDescent="0.3">
      <c r="A25">
        <v>5871</v>
      </c>
      <c r="B25" s="1">
        <v>45978</v>
      </c>
      <c r="C25">
        <v>1002</v>
      </c>
      <c r="D25" t="s">
        <v>71</v>
      </c>
      <c r="E25" t="s">
        <v>22</v>
      </c>
      <c r="F25" t="s">
        <v>27</v>
      </c>
      <c r="G25" t="s">
        <v>42</v>
      </c>
      <c r="H25" t="s">
        <v>31</v>
      </c>
      <c r="I25">
        <v>4</v>
      </c>
      <c r="J25">
        <v>200</v>
      </c>
      <c r="K25">
        <v>0</v>
      </c>
      <c r="L25" t="s">
        <v>25</v>
      </c>
      <c r="M25">
        <f>I25*J25*(1-K25/100)</f>
        <v>800</v>
      </c>
      <c r="N25" t="str">
        <f>TEXT(B25,"yyyy-mm")</f>
        <v>2025-11</v>
      </c>
    </row>
    <row r="26" spans="1:14" x14ac:dyDescent="0.3">
      <c r="A26">
        <v>5229</v>
      </c>
      <c r="B26" s="1">
        <v>45743</v>
      </c>
      <c r="C26">
        <v>1002</v>
      </c>
      <c r="D26" t="s">
        <v>71</v>
      </c>
      <c r="E26" t="s">
        <v>22</v>
      </c>
      <c r="F26" t="s">
        <v>27</v>
      </c>
      <c r="G26" t="s">
        <v>30</v>
      </c>
      <c r="H26" t="s">
        <v>31</v>
      </c>
      <c r="I26">
        <v>3</v>
      </c>
      <c r="J26">
        <v>350</v>
      </c>
      <c r="K26">
        <v>0</v>
      </c>
      <c r="L26" t="s">
        <v>25</v>
      </c>
      <c r="M26">
        <f>I26*J26*(1-K26/100)</f>
        <v>1050</v>
      </c>
      <c r="N26" t="str">
        <f>TEXT(B26,"yyyy-mm")</f>
        <v>2025-03</v>
      </c>
    </row>
    <row r="27" spans="1:14" x14ac:dyDescent="0.3">
      <c r="A27">
        <v>5236</v>
      </c>
      <c r="B27" s="1">
        <v>45745</v>
      </c>
      <c r="C27">
        <v>1002</v>
      </c>
      <c r="D27" t="s">
        <v>71</v>
      </c>
      <c r="E27" t="s">
        <v>22</v>
      </c>
      <c r="F27" t="s">
        <v>27</v>
      </c>
      <c r="G27" t="s">
        <v>36</v>
      </c>
      <c r="H27" t="s">
        <v>16</v>
      </c>
      <c r="I27">
        <v>3</v>
      </c>
      <c r="J27">
        <v>55000</v>
      </c>
      <c r="K27">
        <v>0</v>
      </c>
      <c r="L27" t="s">
        <v>20</v>
      </c>
      <c r="M27">
        <f>I27*J27*(1-K27/100)</f>
        <v>165000</v>
      </c>
      <c r="N27" t="str">
        <f>TEXT(B27,"yyyy-mm")</f>
        <v>2025-03</v>
      </c>
    </row>
    <row r="28" spans="1:14" x14ac:dyDescent="0.3">
      <c r="A28">
        <v>5790</v>
      </c>
      <c r="B28" s="1">
        <v>45950</v>
      </c>
      <c r="C28">
        <v>1002</v>
      </c>
      <c r="D28" t="s">
        <v>71</v>
      </c>
      <c r="E28" t="s">
        <v>22</v>
      </c>
      <c r="F28" t="s">
        <v>27</v>
      </c>
      <c r="G28" t="s">
        <v>36</v>
      </c>
      <c r="H28" t="s">
        <v>16</v>
      </c>
      <c r="I28">
        <v>3</v>
      </c>
      <c r="J28">
        <v>55000</v>
      </c>
      <c r="K28">
        <v>5</v>
      </c>
      <c r="L28" t="s">
        <v>34</v>
      </c>
      <c r="M28">
        <f>I28*J28*(1-K28/100)</f>
        <v>156750</v>
      </c>
      <c r="N28" t="str">
        <f>TEXT(B28,"yyyy-mm")</f>
        <v>2025-10</v>
      </c>
    </row>
    <row r="29" spans="1:14" x14ac:dyDescent="0.3">
      <c r="A29">
        <v>5290</v>
      </c>
      <c r="B29" s="1">
        <v>45765</v>
      </c>
      <c r="C29">
        <v>1002</v>
      </c>
      <c r="D29" t="s">
        <v>71</v>
      </c>
      <c r="E29" t="s">
        <v>22</v>
      </c>
      <c r="F29" t="s">
        <v>27</v>
      </c>
      <c r="G29" t="s">
        <v>65</v>
      </c>
      <c r="H29" t="s">
        <v>16</v>
      </c>
      <c r="I29">
        <v>2</v>
      </c>
      <c r="J29">
        <v>12000</v>
      </c>
      <c r="K29">
        <v>0</v>
      </c>
      <c r="L29" t="s">
        <v>34</v>
      </c>
      <c r="M29">
        <f>I29*J29*(1-K29/100)</f>
        <v>24000</v>
      </c>
      <c r="N29" t="str">
        <f>TEXT(B29,"yyyy-mm")</f>
        <v>2025-04</v>
      </c>
    </row>
    <row r="30" spans="1:14" x14ac:dyDescent="0.3">
      <c r="A30">
        <v>5483</v>
      </c>
      <c r="B30" s="1">
        <v>45842</v>
      </c>
      <c r="C30">
        <v>1002</v>
      </c>
      <c r="D30" t="s">
        <v>71</v>
      </c>
      <c r="E30" t="s">
        <v>22</v>
      </c>
      <c r="F30" t="s">
        <v>27</v>
      </c>
      <c r="G30" t="s">
        <v>42</v>
      </c>
      <c r="H30" t="s">
        <v>31</v>
      </c>
      <c r="I30">
        <v>2</v>
      </c>
      <c r="J30">
        <v>200</v>
      </c>
      <c r="K30">
        <v>0</v>
      </c>
      <c r="L30" t="s">
        <v>25</v>
      </c>
      <c r="M30">
        <f>I30*J30*(1-K30/100)</f>
        <v>400</v>
      </c>
      <c r="N30" t="str">
        <f>TEXT(B30,"yyyy-mm")</f>
        <v>2025-07</v>
      </c>
    </row>
    <row r="31" spans="1:14" x14ac:dyDescent="0.3">
      <c r="A31">
        <v>5099</v>
      </c>
      <c r="B31" s="1">
        <v>45694</v>
      </c>
      <c r="C31">
        <v>1002</v>
      </c>
      <c r="D31" t="s">
        <v>71</v>
      </c>
      <c r="E31" t="s">
        <v>22</v>
      </c>
      <c r="F31" t="s">
        <v>27</v>
      </c>
      <c r="G31" t="s">
        <v>65</v>
      </c>
      <c r="H31" t="s">
        <v>16</v>
      </c>
      <c r="I31">
        <v>1</v>
      </c>
      <c r="J31">
        <v>12000</v>
      </c>
      <c r="K31">
        <v>0</v>
      </c>
      <c r="L31" t="s">
        <v>43</v>
      </c>
      <c r="M31">
        <f>I31*J31*(1-K31/100)</f>
        <v>12000</v>
      </c>
      <c r="N31" t="str">
        <f>TEXT(B31,"yyyy-mm")</f>
        <v>2025-02</v>
      </c>
    </row>
    <row r="32" spans="1:14" x14ac:dyDescent="0.3">
      <c r="A32">
        <v>5481</v>
      </c>
      <c r="B32" s="1">
        <v>45842</v>
      </c>
      <c r="C32">
        <v>1003</v>
      </c>
      <c r="D32" t="s">
        <v>12</v>
      </c>
      <c r="E32" t="s">
        <v>22</v>
      </c>
      <c r="F32" t="s">
        <v>14</v>
      </c>
      <c r="G32" t="s">
        <v>57</v>
      </c>
      <c r="H32" t="s">
        <v>38</v>
      </c>
      <c r="I32">
        <v>5</v>
      </c>
      <c r="J32">
        <v>16000</v>
      </c>
      <c r="K32">
        <v>0</v>
      </c>
      <c r="L32" t="s">
        <v>34</v>
      </c>
      <c r="M32">
        <f>I32*J32*(1-K32/100)</f>
        <v>80000</v>
      </c>
      <c r="N32" t="str">
        <f>TEXT(B32,"yyyy-mm")</f>
        <v>2025-07</v>
      </c>
    </row>
    <row r="33" spans="1:14" x14ac:dyDescent="0.3">
      <c r="A33">
        <v>5903</v>
      </c>
      <c r="B33" s="1">
        <v>45993</v>
      </c>
      <c r="C33">
        <v>1003</v>
      </c>
      <c r="D33" t="s">
        <v>12</v>
      </c>
      <c r="E33" t="s">
        <v>22</v>
      </c>
      <c r="F33" t="s">
        <v>14</v>
      </c>
      <c r="G33" t="s">
        <v>37</v>
      </c>
      <c r="H33" t="s">
        <v>38</v>
      </c>
      <c r="I33">
        <v>5</v>
      </c>
      <c r="J33">
        <v>7500</v>
      </c>
      <c r="K33">
        <v>0</v>
      </c>
      <c r="L33" t="s">
        <v>34</v>
      </c>
      <c r="M33">
        <f>I33*J33*(1-K33/100)</f>
        <v>37500</v>
      </c>
      <c r="N33" t="str">
        <f>TEXT(B33,"yyyy-mm")</f>
        <v>2025-12</v>
      </c>
    </row>
    <row r="34" spans="1:14" x14ac:dyDescent="0.3">
      <c r="A34">
        <v>5383</v>
      </c>
      <c r="B34" s="1">
        <v>45806</v>
      </c>
      <c r="C34">
        <v>1003</v>
      </c>
      <c r="D34" t="s">
        <v>12</v>
      </c>
      <c r="E34" t="s">
        <v>22</v>
      </c>
      <c r="F34" t="s">
        <v>14</v>
      </c>
      <c r="G34" t="s">
        <v>30</v>
      </c>
      <c r="H34" t="s">
        <v>31</v>
      </c>
      <c r="I34">
        <v>4</v>
      </c>
      <c r="J34">
        <v>350</v>
      </c>
      <c r="K34">
        <v>0</v>
      </c>
      <c r="L34" t="s">
        <v>25</v>
      </c>
      <c r="M34">
        <f>I34*J34*(1-K34/100)</f>
        <v>1400</v>
      </c>
      <c r="N34" t="str">
        <f>TEXT(B34,"yyyy-mm")</f>
        <v>2025-05</v>
      </c>
    </row>
    <row r="35" spans="1:14" x14ac:dyDescent="0.3">
      <c r="A35">
        <v>5506</v>
      </c>
      <c r="B35" s="1">
        <v>45848</v>
      </c>
      <c r="C35">
        <v>1003</v>
      </c>
      <c r="D35" t="s">
        <v>12</v>
      </c>
      <c r="E35" t="s">
        <v>22</v>
      </c>
      <c r="F35" t="s">
        <v>14</v>
      </c>
      <c r="G35" t="s">
        <v>37</v>
      </c>
      <c r="H35" t="s">
        <v>38</v>
      </c>
      <c r="I35">
        <v>4</v>
      </c>
      <c r="J35">
        <v>7500</v>
      </c>
      <c r="K35">
        <v>0</v>
      </c>
      <c r="L35" t="s">
        <v>17</v>
      </c>
      <c r="M35">
        <f>I35*J35*(1-K35/100)</f>
        <v>30000</v>
      </c>
      <c r="N35" t="str">
        <f>TEXT(B35,"yyyy-mm")</f>
        <v>2025-07</v>
      </c>
    </row>
    <row r="36" spans="1:14" x14ac:dyDescent="0.3">
      <c r="A36">
        <v>5609</v>
      </c>
      <c r="B36" s="1">
        <v>45887</v>
      </c>
      <c r="C36">
        <v>1003</v>
      </c>
      <c r="D36" t="s">
        <v>12</v>
      </c>
      <c r="E36" t="s">
        <v>22</v>
      </c>
      <c r="F36" t="s">
        <v>14</v>
      </c>
      <c r="G36" t="s">
        <v>65</v>
      </c>
      <c r="H36" t="s">
        <v>16</v>
      </c>
      <c r="I36">
        <v>4</v>
      </c>
      <c r="J36">
        <v>12000</v>
      </c>
      <c r="K36">
        <v>5</v>
      </c>
      <c r="L36" t="s">
        <v>43</v>
      </c>
      <c r="M36">
        <f>I36*J36*(1-K36/100)</f>
        <v>45600</v>
      </c>
      <c r="N36" t="str">
        <f>TEXT(B36,"yyyy-mm")</f>
        <v>2025-08</v>
      </c>
    </row>
    <row r="37" spans="1:14" x14ac:dyDescent="0.3">
      <c r="A37">
        <v>5146</v>
      </c>
      <c r="B37" s="1">
        <v>45708</v>
      </c>
      <c r="C37">
        <v>1003</v>
      </c>
      <c r="D37" t="s">
        <v>12</v>
      </c>
      <c r="E37" t="s">
        <v>22</v>
      </c>
      <c r="F37" t="s">
        <v>14</v>
      </c>
      <c r="G37" t="s">
        <v>52</v>
      </c>
      <c r="H37" t="s">
        <v>16</v>
      </c>
      <c r="I37">
        <v>3</v>
      </c>
      <c r="J37">
        <v>6000</v>
      </c>
      <c r="K37">
        <v>5</v>
      </c>
      <c r="L37" t="s">
        <v>25</v>
      </c>
      <c r="M37">
        <f>I37*J37*(1-K37/100)</f>
        <v>17100</v>
      </c>
      <c r="N37" t="str">
        <f>TEXT(B37,"yyyy-mm")</f>
        <v>2025-02</v>
      </c>
    </row>
    <row r="38" spans="1:14" x14ac:dyDescent="0.3">
      <c r="A38">
        <v>5163</v>
      </c>
      <c r="B38" s="1">
        <v>45712</v>
      </c>
      <c r="C38">
        <v>1003</v>
      </c>
      <c r="D38" t="s">
        <v>12</v>
      </c>
      <c r="E38" t="s">
        <v>22</v>
      </c>
      <c r="F38" t="s">
        <v>14</v>
      </c>
      <c r="G38" t="s">
        <v>30</v>
      </c>
      <c r="H38" t="s">
        <v>31</v>
      </c>
      <c r="I38">
        <v>3</v>
      </c>
      <c r="J38">
        <v>350</v>
      </c>
      <c r="K38">
        <v>5</v>
      </c>
      <c r="L38" t="s">
        <v>20</v>
      </c>
      <c r="M38">
        <f>I38*J38*(1-K38/100)</f>
        <v>997.5</v>
      </c>
      <c r="N38" t="str">
        <f>TEXT(B38,"yyyy-mm")</f>
        <v>2025-02</v>
      </c>
    </row>
    <row r="39" spans="1:14" x14ac:dyDescent="0.3">
      <c r="A39">
        <v>5226</v>
      </c>
      <c r="B39" s="1">
        <v>45742</v>
      </c>
      <c r="C39">
        <v>1003</v>
      </c>
      <c r="D39" t="s">
        <v>12</v>
      </c>
      <c r="E39" t="s">
        <v>22</v>
      </c>
      <c r="F39" t="s">
        <v>14</v>
      </c>
      <c r="G39" t="s">
        <v>24</v>
      </c>
      <c r="H39" t="s">
        <v>16</v>
      </c>
      <c r="I39">
        <v>3</v>
      </c>
      <c r="J39">
        <v>22000</v>
      </c>
      <c r="K39">
        <v>0</v>
      </c>
      <c r="L39" t="s">
        <v>43</v>
      </c>
      <c r="M39">
        <f>I39*J39*(1-K39/100)</f>
        <v>66000</v>
      </c>
      <c r="N39" t="str">
        <f>TEXT(B39,"yyyy-mm")</f>
        <v>2025-03</v>
      </c>
    </row>
    <row r="40" spans="1:14" x14ac:dyDescent="0.3">
      <c r="A40">
        <v>5738</v>
      </c>
      <c r="B40" s="1">
        <v>45933</v>
      </c>
      <c r="C40">
        <v>1003</v>
      </c>
      <c r="D40" t="s">
        <v>12</v>
      </c>
      <c r="E40" t="s">
        <v>22</v>
      </c>
      <c r="F40" t="s">
        <v>14</v>
      </c>
      <c r="G40" t="s">
        <v>15</v>
      </c>
      <c r="H40" t="s">
        <v>16</v>
      </c>
      <c r="I40">
        <v>3</v>
      </c>
      <c r="J40">
        <v>18000</v>
      </c>
      <c r="K40">
        <v>15</v>
      </c>
      <c r="L40" t="s">
        <v>43</v>
      </c>
      <c r="M40">
        <f>I40*J40*(1-K40/100)</f>
        <v>45900</v>
      </c>
      <c r="N40" t="str">
        <f>TEXT(B40,"yyyy-mm")</f>
        <v>2025-10</v>
      </c>
    </row>
    <row r="41" spans="1:14" x14ac:dyDescent="0.3">
      <c r="A41">
        <v>5152</v>
      </c>
      <c r="B41" s="1">
        <v>45709</v>
      </c>
      <c r="C41">
        <v>1003</v>
      </c>
      <c r="D41" t="s">
        <v>12</v>
      </c>
      <c r="E41" t="s">
        <v>22</v>
      </c>
      <c r="F41" t="s">
        <v>14</v>
      </c>
      <c r="G41" t="s">
        <v>30</v>
      </c>
      <c r="H41" t="s">
        <v>31</v>
      </c>
      <c r="I41">
        <v>2</v>
      </c>
      <c r="J41">
        <v>350</v>
      </c>
      <c r="K41">
        <v>0</v>
      </c>
      <c r="L41" t="s">
        <v>17</v>
      </c>
      <c r="M41">
        <f>I41*J41*(1-K41/100)</f>
        <v>700</v>
      </c>
      <c r="N41" t="str">
        <f>TEXT(B41,"yyyy-mm")</f>
        <v>2025-02</v>
      </c>
    </row>
    <row r="42" spans="1:14" x14ac:dyDescent="0.3">
      <c r="A42">
        <v>5218</v>
      </c>
      <c r="B42" s="1">
        <v>45737</v>
      </c>
      <c r="C42">
        <v>1003</v>
      </c>
      <c r="D42" t="s">
        <v>12</v>
      </c>
      <c r="E42" t="s">
        <v>22</v>
      </c>
      <c r="F42" t="s">
        <v>14</v>
      </c>
      <c r="G42" t="s">
        <v>15</v>
      </c>
      <c r="H42" t="s">
        <v>16</v>
      </c>
      <c r="I42">
        <v>1</v>
      </c>
      <c r="J42">
        <v>18000</v>
      </c>
      <c r="K42">
        <v>5</v>
      </c>
      <c r="L42" t="s">
        <v>25</v>
      </c>
      <c r="M42">
        <f>I42*J42*(1-K42/100)</f>
        <v>17100</v>
      </c>
      <c r="N42" t="str">
        <f>TEXT(B42,"yyyy-mm")</f>
        <v>2025-03</v>
      </c>
    </row>
    <row r="43" spans="1:14" x14ac:dyDescent="0.3">
      <c r="A43">
        <v>5571</v>
      </c>
      <c r="B43" s="1">
        <v>45873</v>
      </c>
      <c r="C43">
        <v>1003</v>
      </c>
      <c r="D43" t="s">
        <v>12</v>
      </c>
      <c r="E43" t="s">
        <v>22</v>
      </c>
      <c r="F43" t="s">
        <v>14</v>
      </c>
      <c r="G43" t="s">
        <v>36</v>
      </c>
      <c r="H43" t="s">
        <v>16</v>
      </c>
      <c r="I43">
        <v>1</v>
      </c>
      <c r="J43">
        <v>55000</v>
      </c>
      <c r="K43">
        <v>0</v>
      </c>
      <c r="L43" t="s">
        <v>43</v>
      </c>
      <c r="M43">
        <f>I43*J43*(1-K43/100)</f>
        <v>55000</v>
      </c>
      <c r="N43" t="str">
        <f>TEXT(B43,"yyyy-mm")</f>
        <v>2025-08</v>
      </c>
    </row>
    <row r="44" spans="1:14" x14ac:dyDescent="0.3">
      <c r="A44">
        <v>5676</v>
      </c>
      <c r="B44" s="1">
        <v>45912</v>
      </c>
      <c r="C44">
        <v>1004</v>
      </c>
      <c r="D44" t="s">
        <v>67</v>
      </c>
      <c r="E44" t="s">
        <v>33</v>
      </c>
      <c r="F44" t="s">
        <v>14</v>
      </c>
      <c r="G44" t="s">
        <v>24</v>
      </c>
      <c r="H44" t="s">
        <v>16</v>
      </c>
      <c r="I44">
        <v>5</v>
      </c>
      <c r="J44">
        <v>22000</v>
      </c>
      <c r="K44">
        <v>10</v>
      </c>
      <c r="L44" t="s">
        <v>34</v>
      </c>
      <c r="M44">
        <f>I44*J44*(1-K44/100)</f>
        <v>99000</v>
      </c>
      <c r="N44" t="str">
        <f>TEXT(B44,"yyyy-mm")</f>
        <v>2025-09</v>
      </c>
    </row>
    <row r="45" spans="1:14" x14ac:dyDescent="0.3">
      <c r="A45">
        <v>5679</v>
      </c>
      <c r="B45" s="1">
        <v>45914</v>
      </c>
      <c r="C45">
        <v>1004</v>
      </c>
      <c r="D45" t="s">
        <v>67</v>
      </c>
      <c r="E45" t="s">
        <v>33</v>
      </c>
      <c r="F45" t="s">
        <v>14</v>
      </c>
      <c r="G45" t="s">
        <v>65</v>
      </c>
      <c r="H45" t="s">
        <v>16</v>
      </c>
      <c r="I45">
        <v>5</v>
      </c>
      <c r="J45">
        <v>12000</v>
      </c>
      <c r="K45">
        <v>0</v>
      </c>
      <c r="L45" t="s">
        <v>34</v>
      </c>
      <c r="M45">
        <f>I45*J45*(1-K45/100)</f>
        <v>60000</v>
      </c>
      <c r="N45" t="str">
        <f>TEXT(B45,"yyyy-mm")</f>
        <v>2025-09</v>
      </c>
    </row>
    <row r="46" spans="1:14" x14ac:dyDescent="0.3">
      <c r="A46">
        <v>5978</v>
      </c>
      <c r="B46" s="1">
        <v>46014</v>
      </c>
      <c r="C46">
        <v>1004</v>
      </c>
      <c r="D46" t="s">
        <v>67</v>
      </c>
      <c r="E46" t="s">
        <v>33</v>
      </c>
      <c r="F46" t="s">
        <v>14</v>
      </c>
      <c r="G46" t="s">
        <v>55</v>
      </c>
      <c r="H46" t="s">
        <v>16</v>
      </c>
      <c r="I46">
        <v>5</v>
      </c>
      <c r="J46">
        <v>2500</v>
      </c>
      <c r="K46">
        <v>5</v>
      </c>
      <c r="L46" t="s">
        <v>17</v>
      </c>
      <c r="M46">
        <f>I46*J46*(1-K46/100)</f>
        <v>11875</v>
      </c>
      <c r="N46" t="str">
        <f>TEXT(B46,"yyyy-mm")</f>
        <v>2025-12</v>
      </c>
    </row>
    <row r="47" spans="1:14" x14ac:dyDescent="0.3">
      <c r="A47">
        <v>5051</v>
      </c>
      <c r="B47" s="1">
        <v>45674</v>
      </c>
      <c r="C47">
        <v>1004</v>
      </c>
      <c r="D47" t="s">
        <v>67</v>
      </c>
      <c r="E47" t="s">
        <v>33</v>
      </c>
      <c r="F47" t="s">
        <v>14</v>
      </c>
      <c r="G47" t="s">
        <v>30</v>
      </c>
      <c r="H47" t="s">
        <v>31</v>
      </c>
      <c r="I47">
        <v>4</v>
      </c>
      <c r="J47">
        <v>350</v>
      </c>
      <c r="K47">
        <v>5</v>
      </c>
      <c r="L47" t="s">
        <v>17</v>
      </c>
      <c r="M47">
        <f>I47*J47*(1-K47/100)</f>
        <v>1330</v>
      </c>
      <c r="N47" t="str">
        <f>TEXT(B47,"yyyy-mm")</f>
        <v>2025-01</v>
      </c>
    </row>
    <row r="48" spans="1:14" x14ac:dyDescent="0.3">
      <c r="A48">
        <v>5164</v>
      </c>
      <c r="B48" s="1">
        <v>45712</v>
      </c>
      <c r="C48">
        <v>1004</v>
      </c>
      <c r="D48" t="s">
        <v>67</v>
      </c>
      <c r="E48" t="s">
        <v>33</v>
      </c>
      <c r="F48" t="s">
        <v>14</v>
      </c>
      <c r="G48" t="s">
        <v>36</v>
      </c>
      <c r="H48" t="s">
        <v>16</v>
      </c>
      <c r="I48">
        <v>4</v>
      </c>
      <c r="J48">
        <v>55000</v>
      </c>
      <c r="K48">
        <v>0</v>
      </c>
      <c r="L48" t="s">
        <v>25</v>
      </c>
      <c r="M48">
        <f>I48*J48*(1-K48/100)</f>
        <v>220000</v>
      </c>
      <c r="N48" t="str">
        <f>TEXT(B48,"yyyy-mm")</f>
        <v>2025-02</v>
      </c>
    </row>
    <row r="49" spans="1:14" x14ac:dyDescent="0.3">
      <c r="A49">
        <v>5170</v>
      </c>
      <c r="B49" s="1">
        <v>45714</v>
      </c>
      <c r="C49">
        <v>1004</v>
      </c>
      <c r="D49" t="s">
        <v>67</v>
      </c>
      <c r="E49" t="s">
        <v>33</v>
      </c>
      <c r="F49" t="s">
        <v>14</v>
      </c>
      <c r="G49" t="s">
        <v>19</v>
      </c>
      <c r="H49" t="s">
        <v>16</v>
      </c>
      <c r="I49">
        <v>4</v>
      </c>
      <c r="J49">
        <v>9500</v>
      </c>
      <c r="K49">
        <v>15</v>
      </c>
      <c r="L49" t="s">
        <v>43</v>
      </c>
      <c r="M49">
        <f>I49*J49*(1-K49/100)</f>
        <v>32300</v>
      </c>
      <c r="N49" t="str">
        <f>TEXT(B49,"yyyy-mm")</f>
        <v>2025-02</v>
      </c>
    </row>
    <row r="50" spans="1:14" x14ac:dyDescent="0.3">
      <c r="A50">
        <v>5501</v>
      </c>
      <c r="B50" s="1">
        <v>45847</v>
      </c>
      <c r="C50">
        <v>1004</v>
      </c>
      <c r="D50" t="s">
        <v>67</v>
      </c>
      <c r="E50" t="s">
        <v>33</v>
      </c>
      <c r="F50" t="s">
        <v>14</v>
      </c>
      <c r="G50" t="s">
        <v>55</v>
      </c>
      <c r="H50" t="s">
        <v>16</v>
      </c>
      <c r="I50">
        <v>4</v>
      </c>
      <c r="J50">
        <v>2500</v>
      </c>
      <c r="K50">
        <v>0</v>
      </c>
      <c r="L50" t="s">
        <v>34</v>
      </c>
      <c r="M50">
        <f>I50*J50*(1-K50/100)</f>
        <v>10000</v>
      </c>
      <c r="N50" t="str">
        <f>TEXT(B50,"yyyy-mm")</f>
        <v>2025-07</v>
      </c>
    </row>
    <row r="51" spans="1:14" x14ac:dyDescent="0.3">
      <c r="A51">
        <v>5829</v>
      </c>
      <c r="B51" s="1">
        <v>45964</v>
      </c>
      <c r="C51">
        <v>1004</v>
      </c>
      <c r="D51" t="s">
        <v>67</v>
      </c>
      <c r="E51" t="s">
        <v>33</v>
      </c>
      <c r="F51" t="s">
        <v>14</v>
      </c>
      <c r="G51" t="s">
        <v>42</v>
      </c>
      <c r="H51" t="s">
        <v>31</v>
      </c>
      <c r="I51">
        <v>4</v>
      </c>
      <c r="J51">
        <v>200</v>
      </c>
      <c r="K51">
        <v>15</v>
      </c>
      <c r="L51" t="s">
        <v>20</v>
      </c>
      <c r="M51">
        <f>I51*J51*(1-K51/100)</f>
        <v>680</v>
      </c>
      <c r="N51" t="str">
        <f>TEXT(B51,"yyyy-mm")</f>
        <v>2025-11</v>
      </c>
    </row>
    <row r="52" spans="1:14" x14ac:dyDescent="0.3">
      <c r="A52">
        <v>5153</v>
      </c>
      <c r="B52" s="1">
        <v>45709</v>
      </c>
      <c r="C52">
        <v>1004</v>
      </c>
      <c r="D52" t="s">
        <v>67</v>
      </c>
      <c r="E52" t="s">
        <v>33</v>
      </c>
      <c r="F52" t="s">
        <v>14</v>
      </c>
      <c r="G52" t="s">
        <v>42</v>
      </c>
      <c r="H52" t="s">
        <v>31</v>
      </c>
      <c r="I52">
        <v>3</v>
      </c>
      <c r="J52">
        <v>200</v>
      </c>
      <c r="K52">
        <v>0</v>
      </c>
      <c r="L52" t="s">
        <v>25</v>
      </c>
      <c r="M52">
        <f>I52*J52*(1-K52/100)</f>
        <v>600</v>
      </c>
      <c r="N52" t="str">
        <f>TEXT(B52,"yyyy-mm")</f>
        <v>2025-02</v>
      </c>
    </row>
    <row r="53" spans="1:14" x14ac:dyDescent="0.3">
      <c r="A53">
        <v>5315</v>
      </c>
      <c r="B53" s="1">
        <v>45773</v>
      </c>
      <c r="C53">
        <v>1004</v>
      </c>
      <c r="D53" t="s">
        <v>67</v>
      </c>
      <c r="E53" t="s">
        <v>33</v>
      </c>
      <c r="F53" t="s">
        <v>14</v>
      </c>
      <c r="G53" t="s">
        <v>42</v>
      </c>
      <c r="H53" t="s">
        <v>31</v>
      </c>
      <c r="I53">
        <v>3</v>
      </c>
      <c r="J53">
        <v>200</v>
      </c>
      <c r="K53">
        <v>0</v>
      </c>
      <c r="L53" t="s">
        <v>17</v>
      </c>
      <c r="M53">
        <f>I53*J53*(1-K53/100)</f>
        <v>600</v>
      </c>
      <c r="N53" t="str">
        <f>TEXT(B53,"yyyy-mm")</f>
        <v>2025-04</v>
      </c>
    </row>
    <row r="54" spans="1:14" x14ac:dyDescent="0.3">
      <c r="A54">
        <v>5353</v>
      </c>
      <c r="B54" s="1">
        <v>45792</v>
      </c>
      <c r="C54">
        <v>1004</v>
      </c>
      <c r="D54" t="s">
        <v>67</v>
      </c>
      <c r="E54" t="s">
        <v>33</v>
      </c>
      <c r="F54" t="s">
        <v>14</v>
      </c>
      <c r="G54" t="s">
        <v>52</v>
      </c>
      <c r="H54" t="s">
        <v>16</v>
      </c>
      <c r="I54">
        <v>2</v>
      </c>
      <c r="J54">
        <v>6000</v>
      </c>
      <c r="K54">
        <v>0</v>
      </c>
      <c r="L54" t="s">
        <v>20</v>
      </c>
      <c r="M54">
        <f>I54*J54*(1-K54/100)</f>
        <v>12000</v>
      </c>
      <c r="N54" t="str">
        <f>TEXT(B54,"yyyy-mm")</f>
        <v>2025-05</v>
      </c>
    </row>
    <row r="55" spans="1:14" x14ac:dyDescent="0.3">
      <c r="A55">
        <v>5589</v>
      </c>
      <c r="B55" s="1">
        <v>45879</v>
      </c>
      <c r="C55">
        <v>1004</v>
      </c>
      <c r="D55" t="s">
        <v>67</v>
      </c>
      <c r="E55" t="s">
        <v>33</v>
      </c>
      <c r="F55" t="s">
        <v>14</v>
      </c>
      <c r="G55" t="s">
        <v>30</v>
      </c>
      <c r="H55" t="s">
        <v>31</v>
      </c>
      <c r="I55">
        <v>2</v>
      </c>
      <c r="J55">
        <v>350</v>
      </c>
      <c r="K55">
        <v>0</v>
      </c>
      <c r="L55" t="s">
        <v>25</v>
      </c>
      <c r="M55">
        <f>I55*J55*(1-K55/100)</f>
        <v>700</v>
      </c>
      <c r="N55" t="str">
        <f>TEXT(B55,"yyyy-mm")</f>
        <v>2025-08</v>
      </c>
    </row>
    <row r="56" spans="1:14" x14ac:dyDescent="0.3">
      <c r="A56">
        <v>5111</v>
      </c>
      <c r="B56" s="1">
        <v>45697</v>
      </c>
      <c r="C56">
        <v>1004</v>
      </c>
      <c r="D56" t="s">
        <v>67</v>
      </c>
      <c r="E56" t="s">
        <v>33</v>
      </c>
      <c r="F56" t="s">
        <v>14</v>
      </c>
      <c r="G56" t="s">
        <v>36</v>
      </c>
      <c r="H56" t="s">
        <v>16</v>
      </c>
      <c r="I56">
        <v>1</v>
      </c>
      <c r="J56">
        <v>55000</v>
      </c>
      <c r="K56">
        <v>5</v>
      </c>
      <c r="L56" t="s">
        <v>43</v>
      </c>
      <c r="M56">
        <f>I56*J56*(1-K56/100)</f>
        <v>52250</v>
      </c>
      <c r="N56" t="str">
        <f>TEXT(B56,"yyyy-mm")</f>
        <v>2025-02</v>
      </c>
    </row>
    <row r="57" spans="1:14" x14ac:dyDescent="0.3">
      <c r="A57">
        <v>5156</v>
      </c>
      <c r="B57" s="1">
        <v>45710</v>
      </c>
      <c r="C57">
        <v>1004</v>
      </c>
      <c r="D57" t="s">
        <v>67</v>
      </c>
      <c r="E57" t="s">
        <v>33</v>
      </c>
      <c r="F57" t="s">
        <v>14</v>
      </c>
      <c r="G57" t="s">
        <v>65</v>
      </c>
      <c r="H57" t="s">
        <v>16</v>
      </c>
      <c r="I57">
        <v>1</v>
      </c>
      <c r="J57">
        <v>12000</v>
      </c>
      <c r="K57">
        <v>0</v>
      </c>
      <c r="L57" t="s">
        <v>20</v>
      </c>
      <c r="M57">
        <f>I57*J57*(1-K57/100)</f>
        <v>12000</v>
      </c>
      <c r="N57" t="str">
        <f>TEXT(B57,"yyyy-mm")</f>
        <v>2025-02</v>
      </c>
    </row>
    <row r="58" spans="1:14" x14ac:dyDescent="0.3">
      <c r="A58">
        <v>5342</v>
      </c>
      <c r="B58" s="1">
        <v>45786</v>
      </c>
      <c r="C58">
        <v>1004</v>
      </c>
      <c r="D58" t="s">
        <v>67</v>
      </c>
      <c r="E58" t="s">
        <v>33</v>
      </c>
      <c r="F58" t="s">
        <v>14</v>
      </c>
      <c r="G58" t="s">
        <v>40</v>
      </c>
      <c r="H58" t="s">
        <v>38</v>
      </c>
      <c r="I58">
        <v>1</v>
      </c>
      <c r="J58">
        <v>900</v>
      </c>
      <c r="K58">
        <v>0</v>
      </c>
      <c r="L58" t="s">
        <v>17</v>
      </c>
      <c r="M58">
        <f>I58*J58*(1-K58/100)</f>
        <v>900</v>
      </c>
      <c r="N58" t="str">
        <f>TEXT(B58,"yyyy-mm")</f>
        <v>2025-05</v>
      </c>
    </row>
    <row r="59" spans="1:14" x14ac:dyDescent="0.3">
      <c r="A59">
        <v>5683</v>
      </c>
      <c r="B59" s="1">
        <v>45916</v>
      </c>
      <c r="C59">
        <v>1004</v>
      </c>
      <c r="D59" t="s">
        <v>67</v>
      </c>
      <c r="E59" t="s">
        <v>33</v>
      </c>
      <c r="F59" t="s">
        <v>14</v>
      </c>
      <c r="G59" t="s">
        <v>37</v>
      </c>
      <c r="H59" t="s">
        <v>38</v>
      </c>
      <c r="I59">
        <v>1</v>
      </c>
      <c r="J59">
        <v>7500</v>
      </c>
      <c r="K59">
        <v>0</v>
      </c>
      <c r="L59" t="s">
        <v>34</v>
      </c>
      <c r="M59">
        <f>I59*J59*(1-K59/100)</f>
        <v>7500</v>
      </c>
      <c r="N59" t="str">
        <f>TEXT(B59,"yyyy-mm")</f>
        <v>2025-09</v>
      </c>
    </row>
    <row r="60" spans="1:14" x14ac:dyDescent="0.3">
      <c r="A60">
        <v>5702</v>
      </c>
      <c r="B60" s="1">
        <v>45923</v>
      </c>
      <c r="C60">
        <v>1004</v>
      </c>
      <c r="D60" t="s">
        <v>67</v>
      </c>
      <c r="E60" t="s">
        <v>33</v>
      </c>
      <c r="F60" t="s">
        <v>14</v>
      </c>
      <c r="G60" t="s">
        <v>65</v>
      </c>
      <c r="H60" t="s">
        <v>16</v>
      </c>
      <c r="I60">
        <v>1</v>
      </c>
      <c r="J60">
        <v>12000</v>
      </c>
      <c r="K60">
        <v>0</v>
      </c>
      <c r="L60" t="s">
        <v>17</v>
      </c>
      <c r="M60">
        <f>I60*J60*(1-K60/100)</f>
        <v>12000</v>
      </c>
      <c r="N60" t="str">
        <f>TEXT(B60,"yyyy-mm")</f>
        <v>2025-09</v>
      </c>
    </row>
    <row r="61" spans="1:14" x14ac:dyDescent="0.3">
      <c r="A61">
        <v>5551</v>
      </c>
      <c r="B61" s="1">
        <v>45864</v>
      </c>
      <c r="C61">
        <v>1005</v>
      </c>
      <c r="D61" t="s">
        <v>61</v>
      </c>
      <c r="E61" t="s">
        <v>13</v>
      </c>
      <c r="F61" t="s">
        <v>14</v>
      </c>
      <c r="G61" t="s">
        <v>65</v>
      </c>
      <c r="H61" t="s">
        <v>16</v>
      </c>
      <c r="I61">
        <v>5</v>
      </c>
      <c r="J61">
        <v>12000</v>
      </c>
      <c r="K61">
        <v>10</v>
      </c>
      <c r="L61" t="s">
        <v>20</v>
      </c>
      <c r="M61">
        <f>I61*J61*(1-K61/100)</f>
        <v>54000</v>
      </c>
      <c r="N61" t="str">
        <f>TEXT(B61,"yyyy-mm")</f>
        <v>2025-07</v>
      </c>
    </row>
    <row r="62" spans="1:14" x14ac:dyDescent="0.3">
      <c r="A62">
        <v>5611</v>
      </c>
      <c r="B62" s="1">
        <v>45888</v>
      </c>
      <c r="C62">
        <v>1005</v>
      </c>
      <c r="D62" t="s">
        <v>61</v>
      </c>
      <c r="E62" t="s">
        <v>13</v>
      </c>
      <c r="F62" t="s">
        <v>14</v>
      </c>
      <c r="G62" t="s">
        <v>52</v>
      </c>
      <c r="H62" t="s">
        <v>16</v>
      </c>
      <c r="I62">
        <v>5</v>
      </c>
      <c r="J62">
        <v>6000</v>
      </c>
      <c r="K62">
        <v>0</v>
      </c>
      <c r="L62" t="s">
        <v>43</v>
      </c>
      <c r="M62">
        <f>I62*J62*(1-K62/100)</f>
        <v>30000</v>
      </c>
      <c r="N62" t="str">
        <f>TEXT(B62,"yyyy-mm")</f>
        <v>2025-08</v>
      </c>
    </row>
    <row r="63" spans="1:14" x14ac:dyDescent="0.3">
      <c r="A63">
        <v>5725</v>
      </c>
      <c r="B63" s="1">
        <v>45928</v>
      </c>
      <c r="C63">
        <v>1005</v>
      </c>
      <c r="D63" t="s">
        <v>61</v>
      </c>
      <c r="E63" t="s">
        <v>13</v>
      </c>
      <c r="F63" t="s">
        <v>14</v>
      </c>
      <c r="G63" t="s">
        <v>65</v>
      </c>
      <c r="H63" t="s">
        <v>16</v>
      </c>
      <c r="I63">
        <v>5</v>
      </c>
      <c r="J63">
        <v>12000</v>
      </c>
      <c r="K63">
        <v>0</v>
      </c>
      <c r="L63" t="s">
        <v>43</v>
      </c>
      <c r="M63">
        <f>I63*J63*(1-K63/100)</f>
        <v>60000</v>
      </c>
      <c r="N63" t="str">
        <f>TEXT(B63,"yyyy-mm")</f>
        <v>2025-09</v>
      </c>
    </row>
    <row r="64" spans="1:14" x14ac:dyDescent="0.3">
      <c r="A64">
        <v>5271</v>
      </c>
      <c r="B64" s="1">
        <v>45759</v>
      </c>
      <c r="C64">
        <v>1005</v>
      </c>
      <c r="D64" t="s">
        <v>61</v>
      </c>
      <c r="E64" t="s">
        <v>13</v>
      </c>
      <c r="F64" t="s">
        <v>14</v>
      </c>
      <c r="G64" t="s">
        <v>42</v>
      </c>
      <c r="H64" t="s">
        <v>31</v>
      </c>
      <c r="I64">
        <v>4</v>
      </c>
      <c r="J64">
        <v>200</v>
      </c>
      <c r="K64">
        <v>15</v>
      </c>
      <c r="L64" t="s">
        <v>17</v>
      </c>
      <c r="M64">
        <f>I64*J64*(1-K64/100)</f>
        <v>680</v>
      </c>
      <c r="N64" t="str">
        <f>TEXT(B64,"yyyy-mm")</f>
        <v>2025-04</v>
      </c>
    </row>
    <row r="65" spans="1:14" x14ac:dyDescent="0.3">
      <c r="A65">
        <v>5653</v>
      </c>
      <c r="B65" s="1">
        <v>45902</v>
      </c>
      <c r="C65">
        <v>1005</v>
      </c>
      <c r="D65" t="s">
        <v>61</v>
      </c>
      <c r="E65" t="s">
        <v>13</v>
      </c>
      <c r="F65" t="s">
        <v>14</v>
      </c>
      <c r="G65" t="s">
        <v>15</v>
      </c>
      <c r="H65" t="s">
        <v>16</v>
      </c>
      <c r="I65">
        <v>4</v>
      </c>
      <c r="J65">
        <v>18000</v>
      </c>
      <c r="K65">
        <v>0</v>
      </c>
      <c r="L65" t="s">
        <v>25</v>
      </c>
      <c r="M65">
        <f>I65*J65*(1-K65/100)</f>
        <v>72000</v>
      </c>
      <c r="N65" t="str">
        <f>TEXT(B65,"yyyy-mm")</f>
        <v>2025-09</v>
      </c>
    </row>
    <row r="66" spans="1:14" x14ac:dyDescent="0.3">
      <c r="A66">
        <v>5932</v>
      </c>
      <c r="B66" s="1">
        <v>45999</v>
      </c>
      <c r="C66">
        <v>1005</v>
      </c>
      <c r="D66" t="s">
        <v>61</v>
      </c>
      <c r="E66" t="s">
        <v>13</v>
      </c>
      <c r="F66" t="s">
        <v>14</v>
      </c>
      <c r="G66" t="s">
        <v>55</v>
      </c>
      <c r="H66" t="s">
        <v>16</v>
      </c>
      <c r="I66">
        <v>3</v>
      </c>
      <c r="J66">
        <v>2500</v>
      </c>
      <c r="K66">
        <v>10</v>
      </c>
      <c r="L66" t="s">
        <v>20</v>
      </c>
      <c r="M66">
        <f>I66*J66*(1-K66/100)</f>
        <v>6750</v>
      </c>
      <c r="N66" t="str">
        <f>TEXT(B66,"yyyy-mm")</f>
        <v>2025-12</v>
      </c>
    </row>
    <row r="67" spans="1:14" x14ac:dyDescent="0.3">
      <c r="A67">
        <v>5288</v>
      </c>
      <c r="B67" s="1">
        <v>45764</v>
      </c>
      <c r="C67">
        <v>1005</v>
      </c>
      <c r="D67" t="s">
        <v>61</v>
      </c>
      <c r="E67" t="s">
        <v>13</v>
      </c>
      <c r="F67" t="s">
        <v>14</v>
      </c>
      <c r="G67" t="s">
        <v>30</v>
      </c>
      <c r="H67" t="s">
        <v>31</v>
      </c>
      <c r="I67">
        <v>2</v>
      </c>
      <c r="J67">
        <v>350</v>
      </c>
      <c r="K67">
        <v>0</v>
      </c>
      <c r="L67" t="s">
        <v>43</v>
      </c>
      <c r="M67">
        <f>I67*J67*(1-K67/100)</f>
        <v>700</v>
      </c>
      <c r="N67" t="str">
        <f>TEXT(B67,"yyyy-mm")</f>
        <v>2025-04</v>
      </c>
    </row>
    <row r="68" spans="1:14" x14ac:dyDescent="0.3">
      <c r="A68">
        <v>5534</v>
      </c>
      <c r="B68" s="1">
        <v>45856</v>
      </c>
      <c r="C68">
        <v>1005</v>
      </c>
      <c r="D68" t="s">
        <v>61</v>
      </c>
      <c r="E68" t="s">
        <v>13</v>
      </c>
      <c r="F68" t="s">
        <v>14</v>
      </c>
      <c r="G68" t="s">
        <v>55</v>
      </c>
      <c r="H68" t="s">
        <v>16</v>
      </c>
      <c r="I68">
        <v>2</v>
      </c>
      <c r="J68">
        <v>2500</v>
      </c>
      <c r="K68">
        <v>0</v>
      </c>
      <c r="L68" t="s">
        <v>34</v>
      </c>
      <c r="M68">
        <f>I68*J68*(1-K68/100)</f>
        <v>5000</v>
      </c>
      <c r="N68" t="str">
        <f>TEXT(B68,"yyyy-mm")</f>
        <v>2025-07</v>
      </c>
    </row>
    <row r="69" spans="1:14" x14ac:dyDescent="0.3">
      <c r="A69">
        <v>5061</v>
      </c>
      <c r="B69" s="1">
        <v>45678</v>
      </c>
      <c r="C69">
        <v>1005</v>
      </c>
      <c r="D69" t="s">
        <v>61</v>
      </c>
      <c r="E69" t="s">
        <v>13</v>
      </c>
      <c r="F69" t="s">
        <v>14</v>
      </c>
      <c r="G69" t="s">
        <v>42</v>
      </c>
      <c r="H69" t="s">
        <v>31</v>
      </c>
      <c r="I69">
        <v>1</v>
      </c>
      <c r="J69">
        <v>200</v>
      </c>
      <c r="K69">
        <v>15</v>
      </c>
      <c r="L69" t="s">
        <v>43</v>
      </c>
      <c r="M69">
        <f>I69*J69*(1-K69/100)</f>
        <v>170</v>
      </c>
      <c r="N69" t="str">
        <f>TEXT(B69,"yyyy-mm")</f>
        <v>2025-01</v>
      </c>
    </row>
    <row r="70" spans="1:14" x14ac:dyDescent="0.3">
      <c r="A70">
        <v>5469</v>
      </c>
      <c r="B70" s="1">
        <v>45837</v>
      </c>
      <c r="C70">
        <v>1005</v>
      </c>
      <c r="D70" t="s">
        <v>61</v>
      </c>
      <c r="E70" t="s">
        <v>13</v>
      </c>
      <c r="F70" t="s">
        <v>14</v>
      </c>
      <c r="G70" t="s">
        <v>65</v>
      </c>
      <c r="H70" t="s">
        <v>16</v>
      </c>
      <c r="I70">
        <v>1</v>
      </c>
      <c r="J70">
        <v>12000</v>
      </c>
      <c r="K70">
        <v>0</v>
      </c>
      <c r="L70" t="s">
        <v>20</v>
      </c>
      <c r="M70">
        <f>I70*J70*(1-K70/100)</f>
        <v>12000</v>
      </c>
      <c r="N70" t="str">
        <f>TEXT(B70,"yyyy-mm")</f>
        <v>2025-06</v>
      </c>
    </row>
    <row r="71" spans="1:14" x14ac:dyDescent="0.3">
      <c r="A71">
        <v>5243</v>
      </c>
      <c r="B71" s="1">
        <v>45746</v>
      </c>
      <c r="C71">
        <v>1006</v>
      </c>
      <c r="D71" t="s">
        <v>58</v>
      </c>
      <c r="E71" t="s">
        <v>22</v>
      </c>
      <c r="F71" t="s">
        <v>27</v>
      </c>
      <c r="G71" t="s">
        <v>24</v>
      </c>
      <c r="H71" t="s">
        <v>16</v>
      </c>
      <c r="I71">
        <v>5</v>
      </c>
      <c r="J71">
        <v>22000</v>
      </c>
      <c r="K71">
        <v>0</v>
      </c>
      <c r="L71" t="s">
        <v>20</v>
      </c>
      <c r="M71">
        <f>I71*J71*(1-K71/100)</f>
        <v>110000</v>
      </c>
      <c r="N71" t="str">
        <f>TEXT(B71,"yyyy-mm")</f>
        <v>2025-03</v>
      </c>
    </row>
    <row r="72" spans="1:14" x14ac:dyDescent="0.3">
      <c r="A72">
        <v>5966</v>
      </c>
      <c r="B72" s="1">
        <v>46010</v>
      </c>
      <c r="C72">
        <v>1006</v>
      </c>
      <c r="D72" t="s">
        <v>58</v>
      </c>
      <c r="E72" t="s">
        <v>22</v>
      </c>
      <c r="F72" t="s">
        <v>27</v>
      </c>
      <c r="G72" t="s">
        <v>65</v>
      </c>
      <c r="H72" t="s">
        <v>16</v>
      </c>
      <c r="I72">
        <v>5</v>
      </c>
      <c r="J72">
        <v>12000</v>
      </c>
      <c r="K72">
        <v>5</v>
      </c>
      <c r="L72" t="s">
        <v>34</v>
      </c>
      <c r="M72">
        <f>I72*J72*(1-K72/100)</f>
        <v>57000</v>
      </c>
      <c r="N72" t="str">
        <f>TEXT(B72,"yyyy-mm")</f>
        <v>2025-12</v>
      </c>
    </row>
    <row r="73" spans="1:14" x14ac:dyDescent="0.3">
      <c r="A73">
        <v>5390</v>
      </c>
      <c r="B73" s="1">
        <v>45809</v>
      </c>
      <c r="C73">
        <v>1006</v>
      </c>
      <c r="D73" t="s">
        <v>58</v>
      </c>
      <c r="E73" t="s">
        <v>22</v>
      </c>
      <c r="F73" t="s">
        <v>27</v>
      </c>
      <c r="G73" t="s">
        <v>37</v>
      </c>
      <c r="H73" t="s">
        <v>38</v>
      </c>
      <c r="I73">
        <v>4</v>
      </c>
      <c r="J73">
        <v>7500</v>
      </c>
      <c r="K73">
        <v>5</v>
      </c>
      <c r="L73" t="s">
        <v>25</v>
      </c>
      <c r="M73">
        <f>I73*J73*(1-K73/100)</f>
        <v>28500</v>
      </c>
      <c r="N73" t="str">
        <f>TEXT(B73,"yyyy-mm")</f>
        <v>2025-06</v>
      </c>
    </row>
    <row r="74" spans="1:14" x14ac:dyDescent="0.3">
      <c r="A74">
        <v>5028</v>
      </c>
      <c r="B74" s="1">
        <v>45666</v>
      </c>
      <c r="C74">
        <v>1006</v>
      </c>
      <c r="D74" t="s">
        <v>58</v>
      </c>
      <c r="E74" t="s">
        <v>22</v>
      </c>
      <c r="F74" t="s">
        <v>27</v>
      </c>
      <c r="G74" t="s">
        <v>52</v>
      </c>
      <c r="H74" t="s">
        <v>16</v>
      </c>
      <c r="I74">
        <v>3</v>
      </c>
      <c r="J74">
        <v>6000</v>
      </c>
      <c r="K74">
        <v>10</v>
      </c>
      <c r="L74" t="s">
        <v>17</v>
      </c>
      <c r="M74">
        <f>I74*J74*(1-K74/100)</f>
        <v>16200</v>
      </c>
      <c r="N74" t="str">
        <f>TEXT(B74,"yyyy-mm")</f>
        <v>2025-01</v>
      </c>
    </row>
    <row r="75" spans="1:14" x14ac:dyDescent="0.3">
      <c r="A75">
        <v>5421</v>
      </c>
      <c r="B75" s="1">
        <v>45819</v>
      </c>
      <c r="C75">
        <v>1006</v>
      </c>
      <c r="D75" t="s">
        <v>58</v>
      </c>
      <c r="E75" t="s">
        <v>22</v>
      </c>
      <c r="F75" t="s">
        <v>27</v>
      </c>
      <c r="G75" t="s">
        <v>37</v>
      </c>
      <c r="H75" t="s">
        <v>38</v>
      </c>
      <c r="I75">
        <v>3</v>
      </c>
      <c r="J75">
        <v>7500</v>
      </c>
      <c r="K75">
        <v>0</v>
      </c>
      <c r="L75" t="s">
        <v>43</v>
      </c>
      <c r="M75">
        <f>I75*J75*(1-K75/100)</f>
        <v>22500</v>
      </c>
      <c r="N75" t="str">
        <f>TEXT(B75,"yyyy-mm")</f>
        <v>2025-06</v>
      </c>
    </row>
    <row r="76" spans="1:14" x14ac:dyDescent="0.3">
      <c r="A76">
        <v>5782</v>
      </c>
      <c r="B76" s="1">
        <v>45949</v>
      </c>
      <c r="C76">
        <v>1006</v>
      </c>
      <c r="D76" t="s">
        <v>58</v>
      </c>
      <c r="E76" t="s">
        <v>22</v>
      </c>
      <c r="F76" t="s">
        <v>27</v>
      </c>
      <c r="G76" t="s">
        <v>30</v>
      </c>
      <c r="H76" t="s">
        <v>31</v>
      </c>
      <c r="I76">
        <v>3</v>
      </c>
      <c r="J76">
        <v>350</v>
      </c>
      <c r="K76">
        <v>5</v>
      </c>
      <c r="L76" t="s">
        <v>34</v>
      </c>
      <c r="M76">
        <f>I76*J76*(1-K76/100)</f>
        <v>997.5</v>
      </c>
      <c r="N76" t="str">
        <f>TEXT(B76,"yyyy-mm")</f>
        <v>2025-10</v>
      </c>
    </row>
    <row r="77" spans="1:14" x14ac:dyDescent="0.3">
      <c r="A77">
        <v>5333</v>
      </c>
      <c r="B77" s="1">
        <v>45779</v>
      </c>
      <c r="C77">
        <v>1006</v>
      </c>
      <c r="D77" t="s">
        <v>58</v>
      </c>
      <c r="E77" t="s">
        <v>22</v>
      </c>
      <c r="F77" t="s">
        <v>27</v>
      </c>
      <c r="G77" t="s">
        <v>30</v>
      </c>
      <c r="H77" t="s">
        <v>31</v>
      </c>
      <c r="I77">
        <v>2</v>
      </c>
      <c r="J77">
        <v>350</v>
      </c>
      <c r="K77">
        <v>0</v>
      </c>
      <c r="L77" t="s">
        <v>25</v>
      </c>
      <c r="M77">
        <f>I77*J77*(1-K77/100)</f>
        <v>700</v>
      </c>
      <c r="N77" t="str">
        <f>TEXT(B77,"yyyy-mm")</f>
        <v>2025-05</v>
      </c>
    </row>
    <row r="78" spans="1:14" x14ac:dyDescent="0.3">
      <c r="A78">
        <v>5438</v>
      </c>
      <c r="B78" s="1">
        <v>45825</v>
      </c>
      <c r="C78">
        <v>1006</v>
      </c>
      <c r="D78" t="s">
        <v>58</v>
      </c>
      <c r="E78" t="s">
        <v>22</v>
      </c>
      <c r="F78" t="s">
        <v>27</v>
      </c>
      <c r="G78" t="s">
        <v>30</v>
      </c>
      <c r="H78" t="s">
        <v>31</v>
      </c>
      <c r="I78">
        <v>2</v>
      </c>
      <c r="J78">
        <v>350</v>
      </c>
      <c r="K78">
        <v>0</v>
      </c>
      <c r="L78" t="s">
        <v>17</v>
      </c>
      <c r="M78">
        <f>I78*J78*(1-K78/100)</f>
        <v>700</v>
      </c>
      <c r="N78" t="str">
        <f>TEXT(B78,"yyyy-mm")</f>
        <v>2025-06</v>
      </c>
    </row>
    <row r="79" spans="1:14" x14ac:dyDescent="0.3">
      <c r="A79">
        <v>5509</v>
      </c>
      <c r="B79" s="1">
        <v>45849</v>
      </c>
      <c r="C79">
        <v>1006</v>
      </c>
      <c r="D79" t="s">
        <v>58</v>
      </c>
      <c r="E79" t="s">
        <v>22</v>
      </c>
      <c r="F79" t="s">
        <v>27</v>
      </c>
      <c r="G79" t="s">
        <v>52</v>
      </c>
      <c r="H79" t="s">
        <v>16</v>
      </c>
      <c r="I79">
        <v>2</v>
      </c>
      <c r="J79">
        <v>6000</v>
      </c>
      <c r="K79">
        <v>15</v>
      </c>
      <c r="L79" t="s">
        <v>43</v>
      </c>
      <c r="M79">
        <f>I79*J79*(1-K79/100)</f>
        <v>10200</v>
      </c>
      <c r="N79" t="str">
        <f>TEXT(B79,"yyyy-mm")</f>
        <v>2025-07</v>
      </c>
    </row>
    <row r="80" spans="1:14" x14ac:dyDescent="0.3">
      <c r="A80">
        <v>5733</v>
      </c>
      <c r="B80" s="1">
        <v>45931</v>
      </c>
      <c r="C80">
        <v>1006</v>
      </c>
      <c r="D80" t="s">
        <v>58</v>
      </c>
      <c r="E80" t="s">
        <v>22</v>
      </c>
      <c r="F80" t="s">
        <v>27</v>
      </c>
      <c r="G80" t="s">
        <v>37</v>
      </c>
      <c r="H80" t="s">
        <v>38</v>
      </c>
      <c r="I80">
        <v>2</v>
      </c>
      <c r="J80">
        <v>7500</v>
      </c>
      <c r="K80">
        <v>15</v>
      </c>
      <c r="L80" t="s">
        <v>17</v>
      </c>
      <c r="M80">
        <f>I80*J80*(1-K80/100)</f>
        <v>12750</v>
      </c>
      <c r="N80" t="str">
        <f>TEXT(B80,"yyyy-mm")</f>
        <v>2025-10</v>
      </c>
    </row>
    <row r="81" spans="1:14" x14ac:dyDescent="0.3">
      <c r="A81">
        <v>5231</v>
      </c>
      <c r="B81" s="1">
        <v>45743</v>
      </c>
      <c r="C81">
        <v>1006</v>
      </c>
      <c r="D81" t="s">
        <v>58</v>
      </c>
      <c r="E81" t="s">
        <v>22</v>
      </c>
      <c r="F81" t="s">
        <v>27</v>
      </c>
      <c r="G81" t="s">
        <v>37</v>
      </c>
      <c r="H81" t="s">
        <v>38</v>
      </c>
      <c r="I81">
        <v>1</v>
      </c>
      <c r="J81">
        <v>7500</v>
      </c>
      <c r="K81">
        <v>0</v>
      </c>
      <c r="L81" t="s">
        <v>34</v>
      </c>
      <c r="M81">
        <f>I81*J81*(1-K81/100)</f>
        <v>7500</v>
      </c>
      <c r="N81" t="str">
        <f>TEXT(B81,"yyyy-mm")</f>
        <v>2025-03</v>
      </c>
    </row>
    <row r="82" spans="1:14" x14ac:dyDescent="0.3">
      <c r="A82">
        <v>5488</v>
      </c>
      <c r="B82" s="1">
        <v>45843</v>
      </c>
      <c r="C82">
        <v>1006</v>
      </c>
      <c r="D82" t="s">
        <v>58</v>
      </c>
      <c r="E82" t="s">
        <v>22</v>
      </c>
      <c r="F82" t="s">
        <v>27</v>
      </c>
      <c r="G82" t="s">
        <v>65</v>
      </c>
      <c r="H82" t="s">
        <v>16</v>
      </c>
      <c r="I82">
        <v>1</v>
      </c>
      <c r="J82">
        <v>12000</v>
      </c>
      <c r="K82">
        <v>0</v>
      </c>
      <c r="L82" t="s">
        <v>34</v>
      </c>
      <c r="M82">
        <f>I82*J82*(1-K82/100)</f>
        <v>12000</v>
      </c>
      <c r="N82" t="str">
        <f>TEXT(B82,"yyyy-mm")</f>
        <v>2025-07</v>
      </c>
    </row>
    <row r="83" spans="1:14" x14ac:dyDescent="0.3">
      <c r="A83">
        <v>5542</v>
      </c>
      <c r="B83" s="1">
        <v>45860</v>
      </c>
      <c r="C83">
        <v>1006</v>
      </c>
      <c r="D83" t="s">
        <v>58</v>
      </c>
      <c r="E83" t="s">
        <v>22</v>
      </c>
      <c r="F83" t="s">
        <v>27</v>
      </c>
      <c r="G83" t="s">
        <v>65</v>
      </c>
      <c r="H83" t="s">
        <v>16</v>
      </c>
      <c r="I83">
        <v>1</v>
      </c>
      <c r="J83">
        <v>12000</v>
      </c>
      <c r="K83">
        <v>0</v>
      </c>
      <c r="L83" t="s">
        <v>20</v>
      </c>
      <c r="M83">
        <f>I83*J83*(1-K83/100)</f>
        <v>12000</v>
      </c>
      <c r="N83" t="str">
        <f>TEXT(B83,"yyyy-mm")</f>
        <v>2025-07</v>
      </c>
    </row>
    <row r="84" spans="1:14" x14ac:dyDescent="0.3">
      <c r="A84">
        <v>5631</v>
      </c>
      <c r="B84" s="1">
        <v>45894</v>
      </c>
      <c r="C84">
        <v>1006</v>
      </c>
      <c r="D84" t="s">
        <v>58</v>
      </c>
      <c r="E84" t="s">
        <v>22</v>
      </c>
      <c r="F84" t="s">
        <v>27</v>
      </c>
      <c r="G84" t="s">
        <v>15</v>
      </c>
      <c r="H84" t="s">
        <v>16</v>
      </c>
      <c r="I84">
        <v>1</v>
      </c>
      <c r="J84">
        <v>18000</v>
      </c>
      <c r="K84">
        <v>5</v>
      </c>
      <c r="L84" t="s">
        <v>20</v>
      </c>
      <c r="M84">
        <f>I84*J84*(1-K84/100)</f>
        <v>17100</v>
      </c>
      <c r="N84" t="str">
        <f>TEXT(B84,"yyyy-mm")</f>
        <v>2025-08</v>
      </c>
    </row>
    <row r="85" spans="1:14" x14ac:dyDescent="0.3">
      <c r="A85">
        <v>5136</v>
      </c>
      <c r="B85" s="1">
        <v>45704</v>
      </c>
      <c r="C85">
        <v>1007</v>
      </c>
      <c r="D85" t="s">
        <v>51</v>
      </c>
      <c r="E85" t="s">
        <v>29</v>
      </c>
      <c r="F85" t="s">
        <v>14</v>
      </c>
      <c r="G85" t="s">
        <v>65</v>
      </c>
      <c r="H85" t="s">
        <v>16</v>
      </c>
      <c r="I85">
        <v>5</v>
      </c>
      <c r="J85">
        <v>12000</v>
      </c>
      <c r="K85">
        <v>5</v>
      </c>
      <c r="L85" t="s">
        <v>25</v>
      </c>
      <c r="M85">
        <f>I85*J85*(1-K85/100)</f>
        <v>57000</v>
      </c>
      <c r="N85" t="str">
        <f>TEXT(B85,"yyyy-mm")</f>
        <v>2025-02</v>
      </c>
    </row>
    <row r="86" spans="1:14" x14ac:dyDescent="0.3">
      <c r="A86">
        <v>5150</v>
      </c>
      <c r="B86" s="1">
        <v>45709</v>
      </c>
      <c r="C86">
        <v>1007</v>
      </c>
      <c r="D86" t="s">
        <v>51</v>
      </c>
      <c r="E86" t="s">
        <v>29</v>
      </c>
      <c r="F86" t="s">
        <v>14</v>
      </c>
      <c r="G86" t="s">
        <v>52</v>
      </c>
      <c r="H86" t="s">
        <v>16</v>
      </c>
      <c r="I86">
        <v>5</v>
      </c>
      <c r="J86">
        <v>6000</v>
      </c>
      <c r="K86">
        <v>10</v>
      </c>
      <c r="L86" t="s">
        <v>25</v>
      </c>
      <c r="M86">
        <f>I86*J86*(1-K86/100)</f>
        <v>27000</v>
      </c>
      <c r="N86" t="str">
        <f>TEXT(B86,"yyyy-mm")</f>
        <v>2025-02</v>
      </c>
    </row>
    <row r="87" spans="1:14" x14ac:dyDescent="0.3">
      <c r="A87">
        <v>5915</v>
      </c>
      <c r="B87" s="1">
        <v>45995</v>
      </c>
      <c r="C87">
        <v>1007</v>
      </c>
      <c r="D87" t="s">
        <v>51</v>
      </c>
      <c r="E87" t="s">
        <v>29</v>
      </c>
      <c r="F87" t="s">
        <v>14</v>
      </c>
      <c r="G87" t="s">
        <v>37</v>
      </c>
      <c r="H87" t="s">
        <v>38</v>
      </c>
      <c r="I87">
        <v>5</v>
      </c>
      <c r="J87">
        <v>7500</v>
      </c>
      <c r="K87">
        <v>15</v>
      </c>
      <c r="L87" t="s">
        <v>43</v>
      </c>
      <c r="M87">
        <f>I87*J87*(1-K87/100)</f>
        <v>31875</v>
      </c>
      <c r="N87" t="str">
        <f>TEXT(B87,"yyyy-mm")</f>
        <v>2025-12</v>
      </c>
    </row>
    <row r="88" spans="1:14" x14ac:dyDescent="0.3">
      <c r="A88">
        <v>5944</v>
      </c>
      <c r="B88" s="1">
        <v>46005</v>
      </c>
      <c r="C88">
        <v>1007</v>
      </c>
      <c r="D88" t="s">
        <v>51</v>
      </c>
      <c r="E88" t="s">
        <v>29</v>
      </c>
      <c r="F88" t="s">
        <v>14</v>
      </c>
      <c r="G88" t="s">
        <v>55</v>
      </c>
      <c r="H88" t="s">
        <v>16</v>
      </c>
      <c r="I88">
        <v>5</v>
      </c>
      <c r="J88">
        <v>2500</v>
      </c>
      <c r="K88">
        <v>0</v>
      </c>
      <c r="L88" t="s">
        <v>17</v>
      </c>
      <c r="M88">
        <f>I88*J88*(1-K88/100)</f>
        <v>12500</v>
      </c>
      <c r="N88" t="str">
        <f>TEXT(B88,"yyyy-mm")</f>
        <v>2025-12</v>
      </c>
    </row>
    <row r="89" spans="1:14" x14ac:dyDescent="0.3">
      <c r="A89">
        <v>5965</v>
      </c>
      <c r="B89" s="1">
        <v>46010</v>
      </c>
      <c r="C89">
        <v>1007</v>
      </c>
      <c r="D89" t="s">
        <v>51</v>
      </c>
      <c r="E89" t="s">
        <v>29</v>
      </c>
      <c r="F89" t="s">
        <v>14</v>
      </c>
      <c r="G89" t="s">
        <v>36</v>
      </c>
      <c r="H89" t="s">
        <v>16</v>
      </c>
      <c r="I89">
        <v>5</v>
      </c>
      <c r="J89">
        <v>55000</v>
      </c>
      <c r="K89">
        <v>5</v>
      </c>
      <c r="L89" t="s">
        <v>43</v>
      </c>
      <c r="M89">
        <f>I89*J89*(1-K89/100)</f>
        <v>261250</v>
      </c>
      <c r="N89" t="str">
        <f>TEXT(B89,"yyyy-mm")</f>
        <v>2025-12</v>
      </c>
    </row>
    <row r="90" spans="1:14" x14ac:dyDescent="0.3">
      <c r="A90">
        <v>5021</v>
      </c>
      <c r="B90" s="1">
        <v>45663</v>
      </c>
      <c r="C90">
        <v>1007</v>
      </c>
      <c r="D90" t="s">
        <v>51</v>
      </c>
      <c r="E90" t="s">
        <v>29</v>
      </c>
      <c r="F90" t="s">
        <v>14</v>
      </c>
      <c r="G90" t="s">
        <v>52</v>
      </c>
      <c r="H90" t="s">
        <v>16</v>
      </c>
      <c r="I90">
        <v>4</v>
      </c>
      <c r="J90">
        <v>6000</v>
      </c>
      <c r="K90">
        <v>5</v>
      </c>
      <c r="L90" t="s">
        <v>20</v>
      </c>
      <c r="M90">
        <f>I90*J90*(1-K90/100)</f>
        <v>22800</v>
      </c>
      <c r="N90" t="str">
        <f>TEXT(B90,"yyyy-mm")</f>
        <v>2025-01</v>
      </c>
    </row>
    <row r="91" spans="1:14" x14ac:dyDescent="0.3">
      <c r="A91">
        <v>5059</v>
      </c>
      <c r="B91" s="1">
        <v>45677</v>
      </c>
      <c r="C91">
        <v>1007</v>
      </c>
      <c r="D91" t="s">
        <v>51</v>
      </c>
      <c r="E91" t="s">
        <v>29</v>
      </c>
      <c r="F91" t="s">
        <v>14</v>
      </c>
      <c r="G91" t="s">
        <v>55</v>
      </c>
      <c r="H91" t="s">
        <v>16</v>
      </c>
      <c r="I91">
        <v>4</v>
      </c>
      <c r="J91">
        <v>2500</v>
      </c>
      <c r="K91">
        <v>0</v>
      </c>
      <c r="L91" t="s">
        <v>25</v>
      </c>
      <c r="M91">
        <f>I91*J91*(1-K91/100)</f>
        <v>10000</v>
      </c>
      <c r="N91" t="str">
        <f>TEXT(B91,"yyyy-mm")</f>
        <v>2025-01</v>
      </c>
    </row>
    <row r="92" spans="1:14" x14ac:dyDescent="0.3">
      <c r="A92">
        <v>5189</v>
      </c>
      <c r="B92" s="1">
        <v>45721</v>
      </c>
      <c r="C92">
        <v>1007</v>
      </c>
      <c r="D92" t="s">
        <v>51</v>
      </c>
      <c r="E92" t="s">
        <v>29</v>
      </c>
      <c r="F92" t="s">
        <v>14</v>
      </c>
      <c r="G92" t="s">
        <v>19</v>
      </c>
      <c r="H92" t="s">
        <v>16</v>
      </c>
      <c r="I92">
        <v>4</v>
      </c>
      <c r="J92">
        <v>9500</v>
      </c>
      <c r="K92">
        <v>0</v>
      </c>
      <c r="L92" t="s">
        <v>43</v>
      </c>
      <c r="M92">
        <f>I92*J92*(1-K92/100)</f>
        <v>38000</v>
      </c>
      <c r="N92" t="str">
        <f>TEXT(B92,"yyyy-mm")</f>
        <v>2025-03</v>
      </c>
    </row>
    <row r="93" spans="1:14" x14ac:dyDescent="0.3">
      <c r="A93">
        <v>5238</v>
      </c>
      <c r="B93" s="1">
        <v>45745</v>
      </c>
      <c r="C93">
        <v>1007</v>
      </c>
      <c r="D93" t="s">
        <v>51</v>
      </c>
      <c r="E93" t="s">
        <v>29</v>
      </c>
      <c r="F93" t="s">
        <v>14</v>
      </c>
      <c r="G93" t="s">
        <v>55</v>
      </c>
      <c r="H93" t="s">
        <v>16</v>
      </c>
      <c r="I93">
        <v>4</v>
      </c>
      <c r="J93">
        <v>2500</v>
      </c>
      <c r="K93">
        <v>15</v>
      </c>
      <c r="L93" t="s">
        <v>17</v>
      </c>
      <c r="M93">
        <f>I93*J93*(1-K93/100)</f>
        <v>8500</v>
      </c>
      <c r="N93" t="str">
        <f>TEXT(B93,"yyyy-mm")</f>
        <v>2025-03</v>
      </c>
    </row>
    <row r="94" spans="1:14" x14ac:dyDescent="0.3">
      <c r="A94">
        <v>5430</v>
      </c>
      <c r="B94" s="1">
        <v>45822</v>
      </c>
      <c r="C94">
        <v>1007</v>
      </c>
      <c r="D94" t="s">
        <v>51</v>
      </c>
      <c r="E94" t="s">
        <v>29</v>
      </c>
      <c r="F94" t="s">
        <v>14</v>
      </c>
      <c r="G94" t="s">
        <v>19</v>
      </c>
      <c r="H94" t="s">
        <v>16</v>
      </c>
      <c r="I94">
        <v>4</v>
      </c>
      <c r="J94">
        <v>9500</v>
      </c>
      <c r="K94">
        <v>0</v>
      </c>
      <c r="L94" t="s">
        <v>25</v>
      </c>
      <c r="M94">
        <f>I94*J94*(1-K94/100)</f>
        <v>38000</v>
      </c>
      <c r="N94" t="str">
        <f>TEXT(B94,"yyyy-mm")</f>
        <v>2025-06</v>
      </c>
    </row>
    <row r="95" spans="1:14" x14ac:dyDescent="0.3">
      <c r="A95">
        <v>5580</v>
      </c>
      <c r="B95" s="1">
        <v>45876</v>
      </c>
      <c r="C95">
        <v>1007</v>
      </c>
      <c r="D95" t="s">
        <v>51</v>
      </c>
      <c r="E95" t="s">
        <v>29</v>
      </c>
      <c r="F95" t="s">
        <v>14</v>
      </c>
      <c r="G95" t="s">
        <v>52</v>
      </c>
      <c r="H95" t="s">
        <v>16</v>
      </c>
      <c r="I95">
        <v>4</v>
      </c>
      <c r="J95">
        <v>6000</v>
      </c>
      <c r="K95">
        <v>0</v>
      </c>
      <c r="L95" t="s">
        <v>43</v>
      </c>
      <c r="M95">
        <f>I95*J95*(1-K95/100)</f>
        <v>24000</v>
      </c>
      <c r="N95" t="str">
        <f>TEXT(B95,"yyyy-mm")</f>
        <v>2025-08</v>
      </c>
    </row>
    <row r="96" spans="1:14" x14ac:dyDescent="0.3">
      <c r="A96">
        <v>5914</v>
      </c>
      <c r="B96" s="1">
        <v>45995</v>
      </c>
      <c r="C96">
        <v>1007</v>
      </c>
      <c r="D96" t="s">
        <v>51</v>
      </c>
      <c r="E96" t="s">
        <v>29</v>
      </c>
      <c r="F96" t="s">
        <v>14</v>
      </c>
      <c r="G96" t="s">
        <v>24</v>
      </c>
      <c r="H96" t="s">
        <v>16</v>
      </c>
      <c r="I96">
        <v>4</v>
      </c>
      <c r="J96">
        <v>22000</v>
      </c>
      <c r="K96">
        <v>0</v>
      </c>
      <c r="L96" t="s">
        <v>17</v>
      </c>
      <c r="M96">
        <f>I96*J96*(1-K96/100)</f>
        <v>88000</v>
      </c>
      <c r="N96" t="str">
        <f>TEXT(B96,"yyyy-mm")</f>
        <v>2025-12</v>
      </c>
    </row>
    <row r="97" spans="1:14" x14ac:dyDescent="0.3">
      <c r="A97">
        <v>5567</v>
      </c>
      <c r="B97" s="1">
        <v>45872</v>
      </c>
      <c r="C97">
        <v>1007</v>
      </c>
      <c r="D97" t="s">
        <v>51</v>
      </c>
      <c r="E97" t="s">
        <v>29</v>
      </c>
      <c r="F97" t="s">
        <v>14</v>
      </c>
      <c r="G97" t="s">
        <v>52</v>
      </c>
      <c r="H97" t="s">
        <v>16</v>
      </c>
      <c r="I97">
        <v>3</v>
      </c>
      <c r="J97">
        <v>6000</v>
      </c>
      <c r="K97">
        <v>0</v>
      </c>
      <c r="L97" t="s">
        <v>17</v>
      </c>
      <c r="M97">
        <f>I97*J97*(1-K97/100)</f>
        <v>18000</v>
      </c>
      <c r="N97" t="str">
        <f>TEXT(B97,"yyyy-mm")</f>
        <v>2025-08</v>
      </c>
    </row>
    <row r="98" spans="1:14" x14ac:dyDescent="0.3">
      <c r="A98">
        <v>5279</v>
      </c>
      <c r="B98" s="1">
        <v>45761</v>
      </c>
      <c r="C98">
        <v>1007</v>
      </c>
      <c r="D98" t="s">
        <v>51</v>
      </c>
      <c r="E98" t="s">
        <v>29</v>
      </c>
      <c r="F98" t="s">
        <v>14</v>
      </c>
      <c r="G98" t="s">
        <v>40</v>
      </c>
      <c r="H98" t="s">
        <v>38</v>
      </c>
      <c r="I98">
        <v>2</v>
      </c>
      <c r="J98">
        <v>900</v>
      </c>
      <c r="K98">
        <v>0</v>
      </c>
      <c r="L98" t="s">
        <v>17</v>
      </c>
      <c r="M98">
        <f>I98*J98*(1-K98/100)</f>
        <v>1800</v>
      </c>
      <c r="N98" t="str">
        <f>TEXT(B98,"yyyy-mm")</f>
        <v>2025-04</v>
      </c>
    </row>
    <row r="99" spans="1:14" x14ac:dyDescent="0.3">
      <c r="A99">
        <v>5516</v>
      </c>
      <c r="B99" s="1">
        <v>45851</v>
      </c>
      <c r="C99">
        <v>1007</v>
      </c>
      <c r="D99" t="s">
        <v>51</v>
      </c>
      <c r="E99" t="s">
        <v>29</v>
      </c>
      <c r="F99" t="s">
        <v>14</v>
      </c>
      <c r="G99" t="s">
        <v>19</v>
      </c>
      <c r="H99" t="s">
        <v>16</v>
      </c>
      <c r="I99">
        <v>2</v>
      </c>
      <c r="J99">
        <v>9500</v>
      </c>
      <c r="K99">
        <v>5</v>
      </c>
      <c r="L99" t="s">
        <v>25</v>
      </c>
      <c r="M99">
        <f>I99*J99*(1-K99/100)</f>
        <v>18050</v>
      </c>
      <c r="N99" t="str">
        <f>TEXT(B99,"yyyy-mm")</f>
        <v>2025-07</v>
      </c>
    </row>
    <row r="100" spans="1:14" x14ac:dyDescent="0.3">
      <c r="A100">
        <v>5877</v>
      </c>
      <c r="B100" s="1">
        <v>45981</v>
      </c>
      <c r="C100">
        <v>1007</v>
      </c>
      <c r="D100" t="s">
        <v>51</v>
      </c>
      <c r="E100" t="s">
        <v>29</v>
      </c>
      <c r="F100" t="s">
        <v>14</v>
      </c>
      <c r="G100" t="s">
        <v>40</v>
      </c>
      <c r="H100" t="s">
        <v>38</v>
      </c>
      <c r="I100">
        <v>2</v>
      </c>
      <c r="J100">
        <v>900</v>
      </c>
      <c r="K100">
        <v>0</v>
      </c>
      <c r="L100" t="s">
        <v>43</v>
      </c>
      <c r="M100">
        <f>I100*J100*(1-K100/100)</f>
        <v>1800</v>
      </c>
      <c r="N100" t="str">
        <f>TEXT(B100,"yyyy-mm")</f>
        <v>2025-11</v>
      </c>
    </row>
    <row r="101" spans="1:14" x14ac:dyDescent="0.3">
      <c r="A101">
        <v>5166</v>
      </c>
      <c r="B101" s="1">
        <v>45713</v>
      </c>
      <c r="C101">
        <v>1007</v>
      </c>
      <c r="D101" t="s">
        <v>51</v>
      </c>
      <c r="E101" t="s">
        <v>29</v>
      </c>
      <c r="F101" t="s">
        <v>14</v>
      </c>
      <c r="G101" t="s">
        <v>42</v>
      </c>
      <c r="H101" t="s">
        <v>31</v>
      </c>
      <c r="I101">
        <v>1</v>
      </c>
      <c r="J101">
        <v>200</v>
      </c>
      <c r="K101">
        <v>5</v>
      </c>
      <c r="L101" t="s">
        <v>34</v>
      </c>
      <c r="M101">
        <f>I101*J101*(1-K101/100)</f>
        <v>190</v>
      </c>
      <c r="N101" t="str">
        <f>TEXT(B101,"yyyy-mm")</f>
        <v>2025-02</v>
      </c>
    </row>
    <row r="102" spans="1:14" x14ac:dyDescent="0.3">
      <c r="A102">
        <v>5184</v>
      </c>
      <c r="B102" s="1">
        <v>45719</v>
      </c>
      <c r="C102">
        <v>1007</v>
      </c>
      <c r="D102" t="s">
        <v>51</v>
      </c>
      <c r="E102" t="s">
        <v>29</v>
      </c>
      <c r="F102" t="s">
        <v>14</v>
      </c>
      <c r="G102" t="s">
        <v>65</v>
      </c>
      <c r="H102" t="s">
        <v>16</v>
      </c>
      <c r="I102">
        <v>1</v>
      </c>
      <c r="J102">
        <v>12000</v>
      </c>
      <c r="K102">
        <v>10</v>
      </c>
      <c r="L102" t="s">
        <v>43</v>
      </c>
      <c r="M102">
        <f>I102*J102*(1-K102/100)</f>
        <v>10800</v>
      </c>
      <c r="N102" t="str">
        <f>TEXT(B102,"yyyy-mm")</f>
        <v>2025-03</v>
      </c>
    </row>
    <row r="103" spans="1:14" x14ac:dyDescent="0.3">
      <c r="A103">
        <v>5527</v>
      </c>
      <c r="B103" s="1">
        <v>45855</v>
      </c>
      <c r="C103">
        <v>1007</v>
      </c>
      <c r="D103" t="s">
        <v>51</v>
      </c>
      <c r="E103" t="s">
        <v>29</v>
      </c>
      <c r="F103" t="s">
        <v>14</v>
      </c>
      <c r="G103" t="s">
        <v>42</v>
      </c>
      <c r="H103" t="s">
        <v>31</v>
      </c>
      <c r="I103">
        <v>1</v>
      </c>
      <c r="J103">
        <v>200</v>
      </c>
      <c r="K103">
        <v>10</v>
      </c>
      <c r="L103" t="s">
        <v>20</v>
      </c>
      <c r="M103">
        <f>I103*J103*(1-K103/100)</f>
        <v>180</v>
      </c>
      <c r="N103" t="str">
        <f>TEXT(B103,"yyyy-mm")</f>
        <v>2025-07</v>
      </c>
    </row>
    <row r="104" spans="1:14" x14ac:dyDescent="0.3">
      <c r="A104">
        <v>5555</v>
      </c>
      <c r="B104" s="1">
        <v>45866</v>
      </c>
      <c r="C104">
        <v>1007</v>
      </c>
      <c r="D104" t="s">
        <v>51</v>
      </c>
      <c r="E104" t="s">
        <v>29</v>
      </c>
      <c r="F104" t="s">
        <v>14</v>
      </c>
      <c r="G104" t="s">
        <v>57</v>
      </c>
      <c r="H104" t="s">
        <v>38</v>
      </c>
      <c r="I104">
        <v>1</v>
      </c>
      <c r="J104">
        <v>16000</v>
      </c>
      <c r="K104">
        <v>15</v>
      </c>
      <c r="L104" t="s">
        <v>17</v>
      </c>
      <c r="M104">
        <f>I104*J104*(1-K104/100)</f>
        <v>13600</v>
      </c>
      <c r="N104" t="str">
        <f>TEXT(B104,"yyyy-mm")</f>
        <v>2025-07</v>
      </c>
    </row>
    <row r="105" spans="1:14" x14ac:dyDescent="0.3">
      <c r="A105">
        <v>5706</v>
      </c>
      <c r="B105" s="1">
        <v>45924</v>
      </c>
      <c r="C105">
        <v>1008</v>
      </c>
      <c r="D105" t="s">
        <v>51</v>
      </c>
      <c r="E105" t="s">
        <v>13</v>
      </c>
      <c r="F105" t="s">
        <v>14</v>
      </c>
      <c r="G105" t="s">
        <v>65</v>
      </c>
      <c r="H105" t="s">
        <v>16</v>
      </c>
      <c r="I105">
        <v>5</v>
      </c>
      <c r="J105">
        <v>12000</v>
      </c>
      <c r="K105">
        <v>0</v>
      </c>
      <c r="L105" t="s">
        <v>25</v>
      </c>
      <c r="M105">
        <f>I105*J105*(1-K105/100)</f>
        <v>60000</v>
      </c>
      <c r="N105" t="str">
        <f>TEXT(B105,"yyyy-mm")</f>
        <v>2025-09</v>
      </c>
    </row>
    <row r="106" spans="1:14" x14ac:dyDescent="0.3">
      <c r="A106">
        <v>5319</v>
      </c>
      <c r="B106" s="1">
        <v>45773</v>
      </c>
      <c r="C106">
        <v>1008</v>
      </c>
      <c r="D106" t="s">
        <v>51</v>
      </c>
      <c r="E106" t="s">
        <v>13</v>
      </c>
      <c r="F106" t="s">
        <v>14</v>
      </c>
      <c r="G106" t="s">
        <v>42</v>
      </c>
      <c r="H106" t="s">
        <v>31</v>
      </c>
      <c r="I106">
        <v>4</v>
      </c>
      <c r="J106">
        <v>200</v>
      </c>
      <c r="K106">
        <v>5</v>
      </c>
      <c r="L106" t="s">
        <v>20</v>
      </c>
      <c r="M106">
        <f>I106*J106*(1-K106/100)</f>
        <v>760</v>
      </c>
      <c r="N106" t="str">
        <f>TEXT(B106,"yyyy-mm")</f>
        <v>2025-04</v>
      </c>
    </row>
    <row r="107" spans="1:14" x14ac:dyDescent="0.3">
      <c r="A107">
        <v>5505</v>
      </c>
      <c r="B107" s="1">
        <v>45848</v>
      </c>
      <c r="C107">
        <v>1008</v>
      </c>
      <c r="D107" t="s">
        <v>51</v>
      </c>
      <c r="E107" t="s">
        <v>13</v>
      </c>
      <c r="F107" t="s">
        <v>14</v>
      </c>
      <c r="G107" t="s">
        <v>65</v>
      </c>
      <c r="H107" t="s">
        <v>16</v>
      </c>
      <c r="I107">
        <v>4</v>
      </c>
      <c r="J107">
        <v>12000</v>
      </c>
      <c r="K107">
        <v>0</v>
      </c>
      <c r="L107" t="s">
        <v>17</v>
      </c>
      <c r="M107">
        <f>I107*J107*(1-K107/100)</f>
        <v>48000</v>
      </c>
      <c r="N107" t="str">
        <f>TEXT(B107,"yyyy-mm")</f>
        <v>2025-07</v>
      </c>
    </row>
    <row r="108" spans="1:14" x14ac:dyDescent="0.3">
      <c r="A108">
        <v>5576</v>
      </c>
      <c r="B108" s="1">
        <v>45875</v>
      </c>
      <c r="C108">
        <v>1008</v>
      </c>
      <c r="D108" t="s">
        <v>51</v>
      </c>
      <c r="E108" t="s">
        <v>13</v>
      </c>
      <c r="F108" t="s">
        <v>14</v>
      </c>
      <c r="G108" t="s">
        <v>24</v>
      </c>
      <c r="H108" t="s">
        <v>16</v>
      </c>
      <c r="I108">
        <v>4</v>
      </c>
      <c r="J108">
        <v>22000</v>
      </c>
      <c r="K108">
        <v>10</v>
      </c>
      <c r="L108" t="s">
        <v>17</v>
      </c>
      <c r="M108">
        <f>I108*J108*(1-K108/100)</f>
        <v>79200</v>
      </c>
      <c r="N108" t="str">
        <f>TEXT(B108,"yyyy-mm")</f>
        <v>2025-08</v>
      </c>
    </row>
    <row r="109" spans="1:14" x14ac:dyDescent="0.3">
      <c r="A109">
        <v>5646</v>
      </c>
      <c r="B109" s="1">
        <v>45899</v>
      </c>
      <c r="C109">
        <v>1008</v>
      </c>
      <c r="D109" t="s">
        <v>51</v>
      </c>
      <c r="E109" t="s">
        <v>13</v>
      </c>
      <c r="F109" t="s">
        <v>14</v>
      </c>
      <c r="G109" t="s">
        <v>55</v>
      </c>
      <c r="H109" t="s">
        <v>16</v>
      </c>
      <c r="I109">
        <v>4</v>
      </c>
      <c r="J109">
        <v>2500</v>
      </c>
      <c r="K109">
        <v>15</v>
      </c>
      <c r="L109" t="s">
        <v>34</v>
      </c>
      <c r="M109">
        <f>I109*J109*(1-K109/100)</f>
        <v>8500</v>
      </c>
      <c r="N109" t="str">
        <f>TEXT(B109,"yyyy-mm")</f>
        <v>2025-08</v>
      </c>
    </row>
    <row r="110" spans="1:14" x14ac:dyDescent="0.3">
      <c r="A110">
        <v>5969</v>
      </c>
      <c r="B110" s="1">
        <v>46011</v>
      </c>
      <c r="C110">
        <v>1008</v>
      </c>
      <c r="D110" t="s">
        <v>51</v>
      </c>
      <c r="E110" t="s">
        <v>13</v>
      </c>
      <c r="F110" t="s">
        <v>14</v>
      </c>
      <c r="G110" t="s">
        <v>24</v>
      </c>
      <c r="H110" t="s">
        <v>16</v>
      </c>
      <c r="I110">
        <v>4</v>
      </c>
      <c r="J110">
        <v>22000</v>
      </c>
      <c r="K110">
        <v>0</v>
      </c>
      <c r="L110" t="s">
        <v>43</v>
      </c>
      <c r="M110">
        <f>I110*J110*(1-K110/100)</f>
        <v>88000</v>
      </c>
      <c r="N110" t="str">
        <f>TEXT(B110,"yyyy-mm")</f>
        <v>2025-12</v>
      </c>
    </row>
    <row r="111" spans="1:14" x14ac:dyDescent="0.3">
      <c r="A111">
        <v>5043</v>
      </c>
      <c r="B111" s="1">
        <v>45673</v>
      </c>
      <c r="C111">
        <v>1008</v>
      </c>
      <c r="D111" t="s">
        <v>51</v>
      </c>
      <c r="E111" t="s">
        <v>13</v>
      </c>
      <c r="F111" t="s">
        <v>14</v>
      </c>
      <c r="G111" t="s">
        <v>19</v>
      </c>
      <c r="H111" t="s">
        <v>16</v>
      </c>
      <c r="I111">
        <v>3</v>
      </c>
      <c r="J111">
        <v>9500</v>
      </c>
      <c r="K111">
        <v>10</v>
      </c>
      <c r="L111" t="s">
        <v>25</v>
      </c>
      <c r="M111">
        <f>I111*J111*(1-K111/100)</f>
        <v>25650</v>
      </c>
      <c r="N111" t="str">
        <f>TEXT(B111,"yyyy-mm")</f>
        <v>2025-01</v>
      </c>
    </row>
    <row r="112" spans="1:14" x14ac:dyDescent="0.3">
      <c r="A112">
        <v>5310</v>
      </c>
      <c r="B112" s="1">
        <v>45772</v>
      </c>
      <c r="C112">
        <v>1008</v>
      </c>
      <c r="D112" t="s">
        <v>51</v>
      </c>
      <c r="E112" t="s">
        <v>13</v>
      </c>
      <c r="F112" t="s">
        <v>14</v>
      </c>
      <c r="G112" t="s">
        <v>52</v>
      </c>
      <c r="H112" t="s">
        <v>16</v>
      </c>
      <c r="I112">
        <v>3</v>
      </c>
      <c r="J112">
        <v>6000</v>
      </c>
      <c r="K112">
        <v>15</v>
      </c>
      <c r="L112" t="s">
        <v>43</v>
      </c>
      <c r="M112">
        <f>I112*J112*(1-K112/100)</f>
        <v>15300</v>
      </c>
      <c r="N112" t="str">
        <f>TEXT(B112,"yyyy-mm")</f>
        <v>2025-04</v>
      </c>
    </row>
    <row r="113" spans="1:14" x14ac:dyDescent="0.3">
      <c r="A113">
        <v>5628</v>
      </c>
      <c r="B113" s="1">
        <v>45892</v>
      </c>
      <c r="C113">
        <v>1008</v>
      </c>
      <c r="D113" t="s">
        <v>51</v>
      </c>
      <c r="E113" t="s">
        <v>13</v>
      </c>
      <c r="F113" t="s">
        <v>14</v>
      </c>
      <c r="G113" t="s">
        <v>37</v>
      </c>
      <c r="H113" t="s">
        <v>38</v>
      </c>
      <c r="I113">
        <v>3</v>
      </c>
      <c r="J113">
        <v>7500</v>
      </c>
      <c r="K113">
        <v>0</v>
      </c>
      <c r="L113" t="s">
        <v>20</v>
      </c>
      <c r="M113">
        <f>I113*J113*(1-K113/100)</f>
        <v>22500</v>
      </c>
      <c r="N113" t="str">
        <f>TEXT(B113,"yyyy-mm")</f>
        <v>2025-08</v>
      </c>
    </row>
    <row r="114" spans="1:14" x14ac:dyDescent="0.3">
      <c r="A114">
        <v>5780</v>
      </c>
      <c r="B114" s="1">
        <v>45948</v>
      </c>
      <c r="C114">
        <v>1008</v>
      </c>
      <c r="D114" t="s">
        <v>51</v>
      </c>
      <c r="E114" t="s">
        <v>13</v>
      </c>
      <c r="F114" t="s">
        <v>14</v>
      </c>
      <c r="G114" t="s">
        <v>37</v>
      </c>
      <c r="H114" t="s">
        <v>38</v>
      </c>
      <c r="I114">
        <v>3</v>
      </c>
      <c r="J114">
        <v>7500</v>
      </c>
      <c r="K114">
        <v>10</v>
      </c>
      <c r="L114" t="s">
        <v>25</v>
      </c>
      <c r="M114">
        <f>I114*J114*(1-K114/100)</f>
        <v>20250</v>
      </c>
      <c r="N114" t="str">
        <f>TEXT(B114,"yyyy-mm")</f>
        <v>2025-10</v>
      </c>
    </row>
    <row r="115" spans="1:14" x14ac:dyDescent="0.3">
      <c r="A115">
        <v>5785</v>
      </c>
      <c r="B115" s="1">
        <v>45950</v>
      </c>
      <c r="C115">
        <v>1008</v>
      </c>
      <c r="D115" t="s">
        <v>51</v>
      </c>
      <c r="E115" t="s">
        <v>13</v>
      </c>
      <c r="F115" t="s">
        <v>14</v>
      </c>
      <c r="G115" t="s">
        <v>42</v>
      </c>
      <c r="H115" t="s">
        <v>31</v>
      </c>
      <c r="I115">
        <v>3</v>
      </c>
      <c r="J115">
        <v>200</v>
      </c>
      <c r="K115">
        <v>0</v>
      </c>
      <c r="L115" t="s">
        <v>17</v>
      </c>
      <c r="M115">
        <f>I115*J115*(1-K115/100)</f>
        <v>600</v>
      </c>
      <c r="N115" t="str">
        <f>TEXT(B115,"yyyy-mm")</f>
        <v>2025-10</v>
      </c>
    </row>
    <row r="116" spans="1:14" x14ac:dyDescent="0.3">
      <c r="A116">
        <v>5804</v>
      </c>
      <c r="B116" s="1">
        <v>45957</v>
      </c>
      <c r="C116">
        <v>1008</v>
      </c>
      <c r="D116" t="s">
        <v>51</v>
      </c>
      <c r="E116" t="s">
        <v>13</v>
      </c>
      <c r="F116" t="s">
        <v>14</v>
      </c>
      <c r="G116" t="s">
        <v>65</v>
      </c>
      <c r="H116" t="s">
        <v>16</v>
      </c>
      <c r="I116">
        <v>3</v>
      </c>
      <c r="J116">
        <v>12000</v>
      </c>
      <c r="K116">
        <v>0</v>
      </c>
      <c r="L116" t="s">
        <v>17</v>
      </c>
      <c r="M116">
        <f>I116*J116*(1-K116/100)</f>
        <v>36000</v>
      </c>
      <c r="N116" t="str">
        <f>TEXT(B116,"yyyy-mm")</f>
        <v>2025-10</v>
      </c>
    </row>
    <row r="117" spans="1:14" x14ac:dyDescent="0.3">
      <c r="A117">
        <v>5305</v>
      </c>
      <c r="B117" s="1">
        <v>45771</v>
      </c>
      <c r="C117">
        <v>1008</v>
      </c>
      <c r="D117" t="s">
        <v>51</v>
      </c>
      <c r="E117" t="s">
        <v>13</v>
      </c>
      <c r="F117" t="s">
        <v>14</v>
      </c>
      <c r="G117" t="s">
        <v>52</v>
      </c>
      <c r="H117" t="s">
        <v>16</v>
      </c>
      <c r="I117">
        <v>2</v>
      </c>
      <c r="J117">
        <v>6000</v>
      </c>
      <c r="K117">
        <v>0</v>
      </c>
      <c r="L117" t="s">
        <v>43</v>
      </c>
      <c r="M117">
        <f>I117*J117*(1-K117/100)</f>
        <v>12000</v>
      </c>
      <c r="N117" t="str">
        <f>TEXT(B117,"yyyy-mm")</f>
        <v>2025-04</v>
      </c>
    </row>
    <row r="118" spans="1:14" x14ac:dyDescent="0.3">
      <c r="A118">
        <v>5330</v>
      </c>
      <c r="B118" s="1">
        <v>45778</v>
      </c>
      <c r="C118">
        <v>1008</v>
      </c>
      <c r="D118" t="s">
        <v>51</v>
      </c>
      <c r="E118" t="s">
        <v>13</v>
      </c>
      <c r="F118" t="s">
        <v>14</v>
      </c>
      <c r="G118" t="s">
        <v>57</v>
      </c>
      <c r="H118" t="s">
        <v>38</v>
      </c>
      <c r="I118">
        <v>2</v>
      </c>
      <c r="J118">
        <v>16000</v>
      </c>
      <c r="K118">
        <v>10</v>
      </c>
      <c r="L118" t="s">
        <v>34</v>
      </c>
      <c r="M118">
        <f>I118*J118*(1-K118/100)</f>
        <v>28800</v>
      </c>
      <c r="N118" t="str">
        <f>TEXT(B118,"yyyy-mm")</f>
        <v>2025-05</v>
      </c>
    </row>
    <row r="119" spans="1:14" x14ac:dyDescent="0.3">
      <c r="A119">
        <v>5345</v>
      </c>
      <c r="B119" s="1">
        <v>45789</v>
      </c>
      <c r="C119">
        <v>1008</v>
      </c>
      <c r="D119" t="s">
        <v>51</v>
      </c>
      <c r="E119" t="s">
        <v>13</v>
      </c>
      <c r="F119" t="s">
        <v>14</v>
      </c>
      <c r="G119" t="s">
        <v>37</v>
      </c>
      <c r="H119" t="s">
        <v>38</v>
      </c>
      <c r="I119">
        <v>1</v>
      </c>
      <c r="J119">
        <v>7500</v>
      </c>
      <c r="K119">
        <v>5</v>
      </c>
      <c r="L119" t="s">
        <v>43</v>
      </c>
      <c r="M119">
        <f>I119*J119*(1-K119/100)</f>
        <v>7125</v>
      </c>
      <c r="N119" t="str">
        <f>TEXT(B119,"yyyy-mm")</f>
        <v>2025-05</v>
      </c>
    </row>
    <row r="120" spans="1:14" x14ac:dyDescent="0.3">
      <c r="A120">
        <v>5476</v>
      </c>
      <c r="B120" s="1">
        <v>45840</v>
      </c>
      <c r="C120">
        <v>1008</v>
      </c>
      <c r="D120" t="s">
        <v>51</v>
      </c>
      <c r="E120" t="s">
        <v>13</v>
      </c>
      <c r="F120" t="s">
        <v>14</v>
      </c>
      <c r="G120" t="s">
        <v>42</v>
      </c>
      <c r="H120" t="s">
        <v>31</v>
      </c>
      <c r="I120">
        <v>1</v>
      </c>
      <c r="J120">
        <v>200</v>
      </c>
      <c r="K120">
        <v>0</v>
      </c>
      <c r="L120" t="s">
        <v>25</v>
      </c>
      <c r="M120">
        <f>I120*J120*(1-K120/100)</f>
        <v>200</v>
      </c>
      <c r="N120" t="str">
        <f>TEXT(B120,"yyyy-mm")</f>
        <v>2025-07</v>
      </c>
    </row>
    <row r="121" spans="1:14" x14ac:dyDescent="0.3">
      <c r="A121">
        <v>5626</v>
      </c>
      <c r="B121" s="1">
        <v>45891</v>
      </c>
      <c r="C121">
        <v>1008</v>
      </c>
      <c r="D121" t="s">
        <v>51</v>
      </c>
      <c r="E121" t="s">
        <v>13</v>
      </c>
      <c r="F121" t="s">
        <v>14</v>
      </c>
      <c r="G121" t="s">
        <v>30</v>
      </c>
      <c r="H121" t="s">
        <v>31</v>
      </c>
      <c r="I121">
        <v>1</v>
      </c>
      <c r="J121">
        <v>350</v>
      </c>
      <c r="K121">
        <v>10</v>
      </c>
      <c r="L121" t="s">
        <v>17</v>
      </c>
      <c r="M121">
        <f>I121*J121*(1-K121/100)</f>
        <v>315</v>
      </c>
      <c r="N121" t="str">
        <f>TEXT(B121,"yyyy-mm")</f>
        <v>2025-08</v>
      </c>
    </row>
    <row r="122" spans="1:14" x14ac:dyDescent="0.3">
      <c r="A122">
        <v>5663</v>
      </c>
      <c r="B122" s="1">
        <v>45906</v>
      </c>
      <c r="C122">
        <v>1009</v>
      </c>
      <c r="D122" t="s">
        <v>63</v>
      </c>
      <c r="E122" t="s">
        <v>22</v>
      </c>
      <c r="F122" t="s">
        <v>14</v>
      </c>
      <c r="G122" t="s">
        <v>42</v>
      </c>
      <c r="H122" t="s">
        <v>31</v>
      </c>
      <c r="I122">
        <v>5</v>
      </c>
      <c r="J122">
        <v>200</v>
      </c>
      <c r="K122">
        <v>0</v>
      </c>
      <c r="L122" t="s">
        <v>34</v>
      </c>
      <c r="M122">
        <f>I122*J122*(1-K122/100)</f>
        <v>1000</v>
      </c>
      <c r="N122" t="str">
        <f>TEXT(B122,"yyyy-mm")</f>
        <v>2025-09</v>
      </c>
    </row>
    <row r="123" spans="1:14" x14ac:dyDescent="0.3">
      <c r="A123">
        <v>5808</v>
      </c>
      <c r="B123" s="1">
        <v>45959</v>
      </c>
      <c r="C123">
        <v>1009</v>
      </c>
      <c r="D123" t="s">
        <v>63</v>
      </c>
      <c r="E123" t="s">
        <v>22</v>
      </c>
      <c r="F123" t="s">
        <v>14</v>
      </c>
      <c r="G123" t="s">
        <v>24</v>
      </c>
      <c r="H123" t="s">
        <v>16</v>
      </c>
      <c r="I123">
        <v>5</v>
      </c>
      <c r="J123">
        <v>22000</v>
      </c>
      <c r="K123">
        <v>15</v>
      </c>
      <c r="L123" t="s">
        <v>34</v>
      </c>
      <c r="M123">
        <f>I123*J123*(1-K123/100)</f>
        <v>93500</v>
      </c>
      <c r="N123" t="str">
        <f>TEXT(B123,"yyyy-mm")</f>
        <v>2025-10</v>
      </c>
    </row>
    <row r="124" spans="1:14" x14ac:dyDescent="0.3">
      <c r="A124">
        <v>5145</v>
      </c>
      <c r="B124" s="1">
        <v>45707</v>
      </c>
      <c r="C124">
        <v>1009</v>
      </c>
      <c r="D124" t="s">
        <v>63</v>
      </c>
      <c r="E124" t="s">
        <v>22</v>
      </c>
      <c r="F124" t="s">
        <v>14</v>
      </c>
      <c r="G124" t="s">
        <v>52</v>
      </c>
      <c r="H124" t="s">
        <v>16</v>
      </c>
      <c r="I124">
        <v>4</v>
      </c>
      <c r="J124">
        <v>6000</v>
      </c>
      <c r="K124">
        <v>10</v>
      </c>
      <c r="L124" t="s">
        <v>17</v>
      </c>
      <c r="M124">
        <f>I124*J124*(1-K124/100)</f>
        <v>21600</v>
      </c>
      <c r="N124" t="str">
        <f>TEXT(B124,"yyyy-mm")</f>
        <v>2025-02</v>
      </c>
    </row>
    <row r="125" spans="1:14" x14ac:dyDescent="0.3">
      <c r="A125">
        <v>5275</v>
      </c>
      <c r="B125" s="1">
        <v>45760</v>
      </c>
      <c r="C125">
        <v>1009</v>
      </c>
      <c r="D125" t="s">
        <v>63</v>
      </c>
      <c r="E125" t="s">
        <v>22</v>
      </c>
      <c r="F125" t="s">
        <v>14</v>
      </c>
      <c r="G125" t="s">
        <v>52</v>
      </c>
      <c r="H125" t="s">
        <v>16</v>
      </c>
      <c r="I125">
        <v>4</v>
      </c>
      <c r="J125">
        <v>6000</v>
      </c>
      <c r="K125">
        <v>0</v>
      </c>
      <c r="L125" t="s">
        <v>34</v>
      </c>
      <c r="M125">
        <f>I125*J125*(1-K125/100)</f>
        <v>24000</v>
      </c>
      <c r="N125" t="str">
        <f>TEXT(B125,"yyyy-mm")</f>
        <v>2025-04</v>
      </c>
    </row>
    <row r="126" spans="1:14" x14ac:dyDescent="0.3">
      <c r="A126">
        <v>5763</v>
      </c>
      <c r="B126" s="1">
        <v>45942</v>
      </c>
      <c r="C126">
        <v>1009</v>
      </c>
      <c r="D126" t="s">
        <v>63</v>
      </c>
      <c r="E126" t="s">
        <v>22</v>
      </c>
      <c r="F126" t="s">
        <v>14</v>
      </c>
      <c r="G126" t="s">
        <v>65</v>
      </c>
      <c r="H126" t="s">
        <v>16</v>
      </c>
      <c r="I126">
        <v>4</v>
      </c>
      <c r="J126">
        <v>12000</v>
      </c>
      <c r="K126">
        <v>0</v>
      </c>
      <c r="L126" t="s">
        <v>43</v>
      </c>
      <c r="M126">
        <f>I126*J126*(1-K126/100)</f>
        <v>48000</v>
      </c>
      <c r="N126" t="str">
        <f>TEXT(B126,"yyyy-mm")</f>
        <v>2025-10</v>
      </c>
    </row>
    <row r="127" spans="1:14" x14ac:dyDescent="0.3">
      <c r="A127">
        <v>5907</v>
      </c>
      <c r="B127" s="1">
        <v>45994</v>
      </c>
      <c r="C127">
        <v>1009</v>
      </c>
      <c r="D127" t="s">
        <v>63</v>
      </c>
      <c r="E127" t="s">
        <v>22</v>
      </c>
      <c r="F127" t="s">
        <v>14</v>
      </c>
      <c r="G127" t="s">
        <v>65</v>
      </c>
      <c r="H127" t="s">
        <v>16</v>
      </c>
      <c r="I127">
        <v>4</v>
      </c>
      <c r="J127">
        <v>12000</v>
      </c>
      <c r="K127">
        <v>0</v>
      </c>
      <c r="L127" t="s">
        <v>34</v>
      </c>
      <c r="M127">
        <f>I127*J127*(1-K127/100)</f>
        <v>48000</v>
      </c>
      <c r="N127" t="str">
        <f>TEXT(B127,"yyyy-mm")</f>
        <v>2025-12</v>
      </c>
    </row>
    <row r="128" spans="1:14" x14ac:dyDescent="0.3">
      <c r="A128">
        <v>5042</v>
      </c>
      <c r="B128" s="1">
        <v>45672</v>
      </c>
      <c r="C128">
        <v>1009</v>
      </c>
      <c r="D128" t="s">
        <v>63</v>
      </c>
      <c r="E128" t="s">
        <v>22</v>
      </c>
      <c r="F128" t="s">
        <v>14</v>
      </c>
      <c r="G128" t="s">
        <v>52</v>
      </c>
      <c r="H128" t="s">
        <v>16</v>
      </c>
      <c r="I128">
        <v>3</v>
      </c>
      <c r="J128">
        <v>6000</v>
      </c>
      <c r="K128">
        <v>0</v>
      </c>
      <c r="L128" t="s">
        <v>20</v>
      </c>
      <c r="M128">
        <f>I128*J128*(1-K128/100)</f>
        <v>18000</v>
      </c>
      <c r="N128" t="str">
        <f>TEXT(B128,"yyyy-mm")</f>
        <v>2025-01</v>
      </c>
    </row>
    <row r="129" spans="1:14" x14ac:dyDescent="0.3">
      <c r="A129">
        <v>5377</v>
      </c>
      <c r="B129" s="1">
        <v>45803</v>
      </c>
      <c r="C129">
        <v>1009</v>
      </c>
      <c r="D129" t="s">
        <v>63</v>
      </c>
      <c r="E129" t="s">
        <v>22</v>
      </c>
      <c r="F129" t="s">
        <v>14</v>
      </c>
      <c r="G129" t="s">
        <v>52</v>
      </c>
      <c r="H129" t="s">
        <v>16</v>
      </c>
      <c r="I129">
        <v>3</v>
      </c>
      <c r="J129">
        <v>6000</v>
      </c>
      <c r="K129">
        <v>0</v>
      </c>
      <c r="L129" t="s">
        <v>17</v>
      </c>
      <c r="M129">
        <f>I129*J129*(1-K129/100)</f>
        <v>18000</v>
      </c>
      <c r="N129" t="str">
        <f>TEXT(B129,"yyyy-mm")</f>
        <v>2025-05</v>
      </c>
    </row>
    <row r="130" spans="1:14" x14ac:dyDescent="0.3">
      <c r="A130">
        <v>5519</v>
      </c>
      <c r="B130" s="1">
        <v>45852</v>
      </c>
      <c r="C130">
        <v>1009</v>
      </c>
      <c r="D130" t="s">
        <v>63</v>
      </c>
      <c r="E130" t="s">
        <v>22</v>
      </c>
      <c r="F130" t="s">
        <v>14</v>
      </c>
      <c r="G130" t="s">
        <v>24</v>
      </c>
      <c r="H130" t="s">
        <v>16</v>
      </c>
      <c r="I130">
        <v>3</v>
      </c>
      <c r="J130">
        <v>22000</v>
      </c>
      <c r="K130">
        <v>0</v>
      </c>
      <c r="L130" t="s">
        <v>17</v>
      </c>
      <c r="M130">
        <f>I130*J130*(1-K130/100)</f>
        <v>66000</v>
      </c>
      <c r="N130" t="str">
        <f>TEXT(B130,"yyyy-mm")</f>
        <v>2025-07</v>
      </c>
    </row>
    <row r="131" spans="1:14" x14ac:dyDescent="0.3">
      <c r="A131">
        <v>5536</v>
      </c>
      <c r="B131" s="1">
        <v>45857</v>
      </c>
      <c r="C131">
        <v>1009</v>
      </c>
      <c r="D131" t="s">
        <v>63</v>
      </c>
      <c r="E131" t="s">
        <v>22</v>
      </c>
      <c r="F131" t="s">
        <v>14</v>
      </c>
      <c r="G131" t="s">
        <v>55</v>
      </c>
      <c r="H131" t="s">
        <v>16</v>
      </c>
      <c r="I131">
        <v>3</v>
      </c>
      <c r="J131">
        <v>2500</v>
      </c>
      <c r="K131">
        <v>0</v>
      </c>
      <c r="L131" t="s">
        <v>34</v>
      </c>
      <c r="M131">
        <f>I131*J131*(1-K131/100)</f>
        <v>7500</v>
      </c>
      <c r="N131" t="str">
        <f>TEXT(B131,"yyyy-mm")</f>
        <v>2025-07</v>
      </c>
    </row>
    <row r="132" spans="1:14" x14ac:dyDescent="0.3">
      <c r="A132">
        <v>5595</v>
      </c>
      <c r="B132" s="1">
        <v>45882</v>
      </c>
      <c r="C132">
        <v>1009</v>
      </c>
      <c r="D132" t="s">
        <v>63</v>
      </c>
      <c r="E132" t="s">
        <v>22</v>
      </c>
      <c r="F132" t="s">
        <v>14</v>
      </c>
      <c r="G132" t="s">
        <v>42</v>
      </c>
      <c r="H132" t="s">
        <v>31</v>
      </c>
      <c r="I132">
        <v>3</v>
      </c>
      <c r="J132">
        <v>200</v>
      </c>
      <c r="K132">
        <v>0</v>
      </c>
      <c r="L132" t="s">
        <v>17</v>
      </c>
      <c r="M132">
        <f>I132*J132*(1-K132/100)</f>
        <v>600</v>
      </c>
      <c r="N132" t="str">
        <f>TEXT(B132,"yyyy-mm")</f>
        <v>2025-08</v>
      </c>
    </row>
    <row r="133" spans="1:14" x14ac:dyDescent="0.3">
      <c r="A133">
        <v>5058</v>
      </c>
      <c r="B133" s="1">
        <v>45677</v>
      </c>
      <c r="C133">
        <v>1009</v>
      </c>
      <c r="D133" t="s">
        <v>63</v>
      </c>
      <c r="E133" t="s">
        <v>22</v>
      </c>
      <c r="F133" t="s">
        <v>14</v>
      </c>
      <c r="G133" t="s">
        <v>57</v>
      </c>
      <c r="H133" t="s">
        <v>38</v>
      </c>
      <c r="I133">
        <v>2</v>
      </c>
      <c r="J133">
        <v>16000</v>
      </c>
      <c r="K133">
        <v>0</v>
      </c>
      <c r="L133" t="s">
        <v>20</v>
      </c>
      <c r="M133">
        <f>I133*J133*(1-K133/100)</f>
        <v>32000</v>
      </c>
      <c r="N133" t="str">
        <f>TEXT(B133,"yyyy-mm")</f>
        <v>2025-01</v>
      </c>
    </row>
    <row r="134" spans="1:14" x14ac:dyDescent="0.3">
      <c r="A134">
        <v>5307</v>
      </c>
      <c r="B134" s="1">
        <v>45771</v>
      </c>
      <c r="C134">
        <v>1009</v>
      </c>
      <c r="D134" t="s">
        <v>63</v>
      </c>
      <c r="E134" t="s">
        <v>22</v>
      </c>
      <c r="F134" t="s">
        <v>14</v>
      </c>
      <c r="G134" t="s">
        <v>55</v>
      </c>
      <c r="H134" t="s">
        <v>16</v>
      </c>
      <c r="I134">
        <v>2</v>
      </c>
      <c r="J134">
        <v>2500</v>
      </c>
      <c r="K134">
        <v>0</v>
      </c>
      <c r="L134" t="s">
        <v>34</v>
      </c>
      <c r="M134">
        <f>I134*J134*(1-K134/100)</f>
        <v>5000</v>
      </c>
      <c r="N134" t="str">
        <f>TEXT(B134,"yyyy-mm")</f>
        <v>2025-04</v>
      </c>
    </row>
    <row r="135" spans="1:14" x14ac:dyDescent="0.3">
      <c r="A135">
        <v>5312</v>
      </c>
      <c r="B135" s="1">
        <v>45772</v>
      </c>
      <c r="C135">
        <v>1009</v>
      </c>
      <c r="D135" t="s">
        <v>63</v>
      </c>
      <c r="E135" t="s">
        <v>22</v>
      </c>
      <c r="F135" t="s">
        <v>14</v>
      </c>
      <c r="G135" t="s">
        <v>30</v>
      </c>
      <c r="H135" t="s">
        <v>31</v>
      </c>
      <c r="I135">
        <v>2</v>
      </c>
      <c r="J135">
        <v>350</v>
      </c>
      <c r="K135">
        <v>15</v>
      </c>
      <c r="L135" t="s">
        <v>43</v>
      </c>
      <c r="M135">
        <f>I135*J135*(1-K135/100)</f>
        <v>595</v>
      </c>
      <c r="N135" t="str">
        <f>TEXT(B135,"yyyy-mm")</f>
        <v>2025-04</v>
      </c>
    </row>
    <row r="136" spans="1:14" x14ac:dyDescent="0.3">
      <c r="A136">
        <v>5635</v>
      </c>
      <c r="B136" s="1">
        <v>45895</v>
      </c>
      <c r="C136">
        <v>1009</v>
      </c>
      <c r="D136" t="s">
        <v>63</v>
      </c>
      <c r="E136" t="s">
        <v>22</v>
      </c>
      <c r="F136" t="s">
        <v>14</v>
      </c>
      <c r="G136" t="s">
        <v>55</v>
      </c>
      <c r="H136" t="s">
        <v>16</v>
      </c>
      <c r="I136">
        <v>2</v>
      </c>
      <c r="J136">
        <v>2500</v>
      </c>
      <c r="K136">
        <v>0</v>
      </c>
      <c r="L136" t="s">
        <v>17</v>
      </c>
      <c r="M136">
        <f>I136*J136*(1-K136/100)</f>
        <v>5000</v>
      </c>
      <c r="N136" t="str">
        <f>TEXT(B136,"yyyy-mm")</f>
        <v>2025-08</v>
      </c>
    </row>
    <row r="137" spans="1:14" x14ac:dyDescent="0.3">
      <c r="A137">
        <v>5228</v>
      </c>
      <c r="B137" s="1">
        <v>45742</v>
      </c>
      <c r="C137">
        <v>1009</v>
      </c>
      <c r="D137" t="s">
        <v>63</v>
      </c>
      <c r="E137" t="s">
        <v>22</v>
      </c>
      <c r="F137" t="s">
        <v>14</v>
      </c>
      <c r="G137" t="s">
        <v>19</v>
      </c>
      <c r="H137" t="s">
        <v>16</v>
      </c>
      <c r="I137">
        <v>1</v>
      </c>
      <c r="J137">
        <v>9500</v>
      </c>
      <c r="K137">
        <v>0</v>
      </c>
      <c r="L137" t="s">
        <v>20</v>
      </c>
      <c r="M137">
        <f>I137*J137*(1-K137/100)</f>
        <v>9500</v>
      </c>
      <c r="N137" t="str">
        <f>TEXT(B137,"yyyy-mm")</f>
        <v>2025-03</v>
      </c>
    </row>
    <row r="138" spans="1:14" x14ac:dyDescent="0.3">
      <c r="A138">
        <v>5398</v>
      </c>
      <c r="B138" s="1">
        <v>45810</v>
      </c>
      <c r="C138">
        <v>1009</v>
      </c>
      <c r="D138" t="s">
        <v>63</v>
      </c>
      <c r="E138" t="s">
        <v>22</v>
      </c>
      <c r="F138" t="s">
        <v>14</v>
      </c>
      <c r="G138" t="s">
        <v>42</v>
      </c>
      <c r="H138" t="s">
        <v>31</v>
      </c>
      <c r="I138">
        <v>1</v>
      </c>
      <c r="J138">
        <v>200</v>
      </c>
      <c r="K138">
        <v>5</v>
      </c>
      <c r="L138" t="s">
        <v>20</v>
      </c>
      <c r="M138">
        <f>I138*J138*(1-K138/100)</f>
        <v>190</v>
      </c>
      <c r="N138" t="str">
        <f>TEXT(B138,"yyyy-mm")</f>
        <v>2025-06</v>
      </c>
    </row>
    <row r="139" spans="1:14" x14ac:dyDescent="0.3">
      <c r="A139">
        <v>5910</v>
      </c>
      <c r="B139" s="1">
        <v>45995</v>
      </c>
      <c r="C139">
        <v>1009</v>
      </c>
      <c r="D139" t="s">
        <v>63</v>
      </c>
      <c r="E139" t="s">
        <v>22</v>
      </c>
      <c r="F139" t="s">
        <v>14</v>
      </c>
      <c r="G139" t="s">
        <v>24</v>
      </c>
      <c r="H139" t="s">
        <v>16</v>
      </c>
      <c r="I139">
        <v>1</v>
      </c>
      <c r="J139">
        <v>22000</v>
      </c>
      <c r="K139">
        <v>0</v>
      </c>
      <c r="L139" t="s">
        <v>25</v>
      </c>
      <c r="M139">
        <f>I139*J139*(1-K139/100)</f>
        <v>22000</v>
      </c>
      <c r="N139" t="str">
        <f>TEXT(B139,"yyyy-mm")</f>
        <v>2025-12</v>
      </c>
    </row>
    <row r="140" spans="1:14" x14ac:dyDescent="0.3">
      <c r="A140">
        <v>5934</v>
      </c>
      <c r="B140" s="1">
        <v>46001</v>
      </c>
      <c r="C140">
        <v>1009</v>
      </c>
      <c r="D140" t="s">
        <v>63</v>
      </c>
      <c r="E140" t="s">
        <v>22</v>
      </c>
      <c r="F140" t="s">
        <v>14</v>
      </c>
      <c r="G140" t="s">
        <v>15</v>
      </c>
      <c r="H140" t="s">
        <v>16</v>
      </c>
      <c r="I140">
        <v>1</v>
      </c>
      <c r="J140">
        <v>18000</v>
      </c>
      <c r="K140">
        <v>5</v>
      </c>
      <c r="L140" t="s">
        <v>34</v>
      </c>
      <c r="M140">
        <f>I140*J140*(1-K140/100)</f>
        <v>17100</v>
      </c>
      <c r="N140" t="str">
        <f>TEXT(B140,"yyyy-mm")</f>
        <v>2025-12</v>
      </c>
    </row>
    <row r="141" spans="1:14" x14ac:dyDescent="0.3">
      <c r="A141">
        <v>5106</v>
      </c>
      <c r="B141" s="1">
        <v>45696</v>
      </c>
      <c r="C141">
        <v>1010</v>
      </c>
      <c r="D141" t="s">
        <v>44</v>
      </c>
      <c r="E141" t="s">
        <v>22</v>
      </c>
      <c r="F141" t="s">
        <v>23</v>
      </c>
      <c r="G141" t="s">
        <v>19</v>
      </c>
      <c r="H141" t="s">
        <v>16</v>
      </c>
      <c r="I141">
        <v>5</v>
      </c>
      <c r="J141">
        <v>9500</v>
      </c>
      <c r="K141">
        <v>10</v>
      </c>
      <c r="L141" t="s">
        <v>34</v>
      </c>
      <c r="M141">
        <f>I141*J141*(1-K141/100)</f>
        <v>42750</v>
      </c>
      <c r="N141" t="str">
        <f>TEXT(B141,"yyyy-mm")</f>
        <v>2025-02</v>
      </c>
    </row>
    <row r="142" spans="1:14" x14ac:dyDescent="0.3">
      <c r="A142">
        <v>5224</v>
      </c>
      <c r="B142" s="1">
        <v>45741</v>
      </c>
      <c r="C142">
        <v>1010</v>
      </c>
      <c r="D142" t="s">
        <v>44</v>
      </c>
      <c r="E142" t="s">
        <v>22</v>
      </c>
      <c r="F142" t="s">
        <v>23</v>
      </c>
      <c r="G142" t="s">
        <v>40</v>
      </c>
      <c r="H142" t="s">
        <v>38</v>
      </c>
      <c r="I142">
        <v>5</v>
      </c>
      <c r="J142">
        <v>900</v>
      </c>
      <c r="K142">
        <v>0</v>
      </c>
      <c r="L142" t="s">
        <v>20</v>
      </c>
      <c r="M142">
        <f>I142*J142*(1-K142/100)</f>
        <v>4500</v>
      </c>
      <c r="N142" t="str">
        <f>TEXT(B142,"yyyy-mm")</f>
        <v>2025-03</v>
      </c>
    </row>
    <row r="143" spans="1:14" x14ac:dyDescent="0.3">
      <c r="A143">
        <v>5337</v>
      </c>
      <c r="B143" s="1">
        <v>45781</v>
      </c>
      <c r="C143">
        <v>1010</v>
      </c>
      <c r="D143" t="s">
        <v>44</v>
      </c>
      <c r="E143" t="s">
        <v>22</v>
      </c>
      <c r="F143" t="s">
        <v>23</v>
      </c>
      <c r="G143" t="s">
        <v>65</v>
      </c>
      <c r="H143" t="s">
        <v>16</v>
      </c>
      <c r="I143">
        <v>5</v>
      </c>
      <c r="J143">
        <v>12000</v>
      </c>
      <c r="K143">
        <v>0</v>
      </c>
      <c r="L143" t="s">
        <v>43</v>
      </c>
      <c r="M143">
        <f>I143*J143*(1-K143/100)</f>
        <v>60000</v>
      </c>
      <c r="N143" t="str">
        <f>TEXT(B143,"yyyy-mm")</f>
        <v>2025-05</v>
      </c>
    </row>
    <row r="144" spans="1:14" x14ac:dyDescent="0.3">
      <c r="A144">
        <v>5550</v>
      </c>
      <c r="B144" s="1">
        <v>45864</v>
      </c>
      <c r="C144">
        <v>1010</v>
      </c>
      <c r="D144" t="s">
        <v>44</v>
      </c>
      <c r="E144" t="s">
        <v>22</v>
      </c>
      <c r="F144" t="s">
        <v>23</v>
      </c>
      <c r="G144" t="s">
        <v>42</v>
      </c>
      <c r="H144" t="s">
        <v>31</v>
      </c>
      <c r="I144">
        <v>5</v>
      </c>
      <c r="J144">
        <v>200</v>
      </c>
      <c r="K144">
        <v>15</v>
      </c>
      <c r="L144" t="s">
        <v>20</v>
      </c>
      <c r="M144">
        <f>I144*J144*(1-K144/100)</f>
        <v>850</v>
      </c>
      <c r="N144" t="str">
        <f>TEXT(B144,"yyyy-mm")</f>
        <v>2025-07</v>
      </c>
    </row>
    <row r="145" spans="1:14" x14ac:dyDescent="0.3">
      <c r="A145">
        <v>5670</v>
      </c>
      <c r="B145" s="1">
        <v>45909</v>
      </c>
      <c r="C145">
        <v>1010</v>
      </c>
      <c r="D145" t="s">
        <v>44</v>
      </c>
      <c r="E145" t="s">
        <v>22</v>
      </c>
      <c r="F145" t="s">
        <v>23</v>
      </c>
      <c r="G145" t="s">
        <v>30</v>
      </c>
      <c r="H145" t="s">
        <v>31</v>
      </c>
      <c r="I145">
        <v>5</v>
      </c>
      <c r="J145">
        <v>350</v>
      </c>
      <c r="K145">
        <v>0</v>
      </c>
      <c r="L145" t="s">
        <v>20</v>
      </c>
      <c r="M145">
        <f>I145*J145*(1-K145/100)</f>
        <v>1750</v>
      </c>
      <c r="N145" t="str">
        <f>TEXT(B145,"yyyy-mm")</f>
        <v>2025-09</v>
      </c>
    </row>
    <row r="146" spans="1:14" x14ac:dyDescent="0.3">
      <c r="A146">
        <v>5708</v>
      </c>
      <c r="B146" s="1">
        <v>45924</v>
      </c>
      <c r="C146">
        <v>1010</v>
      </c>
      <c r="D146" t="s">
        <v>44</v>
      </c>
      <c r="E146" t="s">
        <v>22</v>
      </c>
      <c r="F146" t="s">
        <v>23</v>
      </c>
      <c r="G146" t="s">
        <v>55</v>
      </c>
      <c r="H146" t="s">
        <v>16</v>
      </c>
      <c r="I146">
        <v>5</v>
      </c>
      <c r="J146">
        <v>2500</v>
      </c>
      <c r="K146">
        <v>0</v>
      </c>
      <c r="L146" t="s">
        <v>20</v>
      </c>
      <c r="M146">
        <f>I146*J146*(1-K146/100)</f>
        <v>12500</v>
      </c>
      <c r="N146" t="str">
        <f>TEXT(B146,"yyyy-mm")</f>
        <v>2025-09</v>
      </c>
    </row>
    <row r="147" spans="1:14" x14ac:dyDescent="0.3">
      <c r="A147">
        <v>5922</v>
      </c>
      <c r="B147" s="1">
        <v>45997</v>
      </c>
      <c r="C147">
        <v>1010</v>
      </c>
      <c r="D147" t="s">
        <v>44</v>
      </c>
      <c r="E147" t="s">
        <v>22</v>
      </c>
      <c r="F147" t="s">
        <v>23</v>
      </c>
      <c r="G147" t="s">
        <v>37</v>
      </c>
      <c r="H147" t="s">
        <v>38</v>
      </c>
      <c r="I147">
        <v>5</v>
      </c>
      <c r="J147">
        <v>7500</v>
      </c>
      <c r="K147">
        <v>0</v>
      </c>
      <c r="L147" t="s">
        <v>20</v>
      </c>
      <c r="M147">
        <f>I147*J147*(1-K147/100)</f>
        <v>37500</v>
      </c>
      <c r="N147" t="str">
        <f>TEXT(B147,"yyyy-mm")</f>
        <v>2025-12</v>
      </c>
    </row>
    <row r="148" spans="1:14" x14ac:dyDescent="0.3">
      <c r="A148">
        <v>5949</v>
      </c>
      <c r="B148" s="1">
        <v>46006</v>
      </c>
      <c r="C148">
        <v>1010</v>
      </c>
      <c r="D148" t="s">
        <v>44</v>
      </c>
      <c r="E148" t="s">
        <v>22</v>
      </c>
      <c r="F148" t="s">
        <v>23</v>
      </c>
      <c r="G148" t="s">
        <v>24</v>
      </c>
      <c r="H148" t="s">
        <v>16</v>
      </c>
      <c r="I148">
        <v>5</v>
      </c>
      <c r="J148">
        <v>22000</v>
      </c>
      <c r="K148">
        <v>15</v>
      </c>
      <c r="L148" t="s">
        <v>34</v>
      </c>
      <c r="M148">
        <f>I148*J148*(1-K148/100)</f>
        <v>93500</v>
      </c>
      <c r="N148" t="str">
        <f>TEXT(B148,"yyyy-mm")</f>
        <v>2025-12</v>
      </c>
    </row>
    <row r="149" spans="1:14" x14ac:dyDescent="0.3">
      <c r="A149">
        <v>5395</v>
      </c>
      <c r="B149" s="1">
        <v>45810</v>
      </c>
      <c r="C149">
        <v>1010</v>
      </c>
      <c r="D149" t="s">
        <v>44</v>
      </c>
      <c r="E149" t="s">
        <v>22</v>
      </c>
      <c r="F149" t="s">
        <v>23</v>
      </c>
      <c r="G149" t="s">
        <v>57</v>
      </c>
      <c r="H149" t="s">
        <v>38</v>
      </c>
      <c r="I149">
        <v>4</v>
      </c>
      <c r="J149">
        <v>16000</v>
      </c>
      <c r="K149">
        <v>5</v>
      </c>
      <c r="L149" t="s">
        <v>17</v>
      </c>
      <c r="M149">
        <f>I149*J149*(1-K149/100)</f>
        <v>60800</v>
      </c>
      <c r="N149" t="str">
        <f>TEXT(B149,"yyyy-mm")</f>
        <v>2025-06</v>
      </c>
    </row>
    <row r="150" spans="1:14" x14ac:dyDescent="0.3">
      <c r="A150">
        <v>5478</v>
      </c>
      <c r="B150" s="1">
        <v>45841</v>
      </c>
      <c r="C150">
        <v>1010</v>
      </c>
      <c r="D150" t="s">
        <v>44</v>
      </c>
      <c r="E150" t="s">
        <v>22</v>
      </c>
      <c r="F150" t="s">
        <v>23</v>
      </c>
      <c r="G150" t="s">
        <v>15</v>
      </c>
      <c r="H150" t="s">
        <v>16</v>
      </c>
      <c r="I150">
        <v>4</v>
      </c>
      <c r="J150">
        <v>18000</v>
      </c>
      <c r="K150">
        <v>0</v>
      </c>
      <c r="L150" t="s">
        <v>25</v>
      </c>
      <c r="M150">
        <f>I150*J150*(1-K150/100)</f>
        <v>72000</v>
      </c>
      <c r="N150" t="str">
        <f>TEXT(B150,"yyyy-mm")</f>
        <v>2025-07</v>
      </c>
    </row>
    <row r="151" spans="1:14" x14ac:dyDescent="0.3">
      <c r="A151">
        <v>5608</v>
      </c>
      <c r="B151" s="1">
        <v>45887</v>
      </c>
      <c r="C151">
        <v>1010</v>
      </c>
      <c r="D151" t="s">
        <v>44</v>
      </c>
      <c r="E151" t="s">
        <v>22</v>
      </c>
      <c r="F151" t="s">
        <v>23</v>
      </c>
      <c r="G151" t="s">
        <v>65</v>
      </c>
      <c r="H151" t="s">
        <v>16</v>
      </c>
      <c r="I151">
        <v>4</v>
      </c>
      <c r="J151">
        <v>12000</v>
      </c>
      <c r="K151">
        <v>0</v>
      </c>
      <c r="L151" t="s">
        <v>17</v>
      </c>
      <c r="M151">
        <f>I151*J151*(1-K151/100)</f>
        <v>48000</v>
      </c>
      <c r="N151" t="str">
        <f>TEXT(B151,"yyyy-mm")</f>
        <v>2025-08</v>
      </c>
    </row>
    <row r="152" spans="1:14" x14ac:dyDescent="0.3">
      <c r="A152">
        <v>5641</v>
      </c>
      <c r="B152" s="1">
        <v>45896</v>
      </c>
      <c r="C152">
        <v>1010</v>
      </c>
      <c r="D152" t="s">
        <v>44</v>
      </c>
      <c r="E152" t="s">
        <v>22</v>
      </c>
      <c r="F152" t="s">
        <v>23</v>
      </c>
      <c r="G152" t="s">
        <v>40</v>
      </c>
      <c r="H152" t="s">
        <v>38</v>
      </c>
      <c r="I152">
        <v>4</v>
      </c>
      <c r="J152">
        <v>900</v>
      </c>
      <c r="K152">
        <v>0</v>
      </c>
      <c r="L152" t="s">
        <v>17</v>
      </c>
      <c r="M152">
        <f>I152*J152*(1-K152/100)</f>
        <v>3600</v>
      </c>
      <c r="N152" t="str">
        <f>TEXT(B152,"yyyy-mm")</f>
        <v>2025-08</v>
      </c>
    </row>
    <row r="153" spans="1:14" x14ac:dyDescent="0.3">
      <c r="A153">
        <v>5181</v>
      </c>
      <c r="B153" s="1">
        <v>45718</v>
      </c>
      <c r="C153">
        <v>1010</v>
      </c>
      <c r="D153" t="s">
        <v>44</v>
      </c>
      <c r="E153" t="s">
        <v>22</v>
      </c>
      <c r="F153" t="s">
        <v>23</v>
      </c>
      <c r="G153" t="s">
        <v>40</v>
      </c>
      <c r="H153" t="s">
        <v>38</v>
      </c>
      <c r="I153">
        <v>3</v>
      </c>
      <c r="J153">
        <v>900</v>
      </c>
      <c r="K153">
        <v>0</v>
      </c>
      <c r="L153" t="s">
        <v>17</v>
      </c>
      <c r="M153">
        <f>I153*J153*(1-K153/100)</f>
        <v>2700</v>
      </c>
      <c r="N153" t="str">
        <f>TEXT(B153,"yyyy-mm")</f>
        <v>2025-03</v>
      </c>
    </row>
    <row r="154" spans="1:14" x14ac:dyDescent="0.3">
      <c r="A154">
        <v>5187</v>
      </c>
      <c r="B154" s="1">
        <v>45721</v>
      </c>
      <c r="C154">
        <v>1010</v>
      </c>
      <c r="D154" t="s">
        <v>44</v>
      </c>
      <c r="E154" t="s">
        <v>87</v>
      </c>
      <c r="F154" t="s">
        <v>23</v>
      </c>
      <c r="G154" t="s">
        <v>15</v>
      </c>
      <c r="H154" t="s">
        <v>16</v>
      </c>
      <c r="I154">
        <v>3</v>
      </c>
      <c r="J154">
        <v>18000</v>
      </c>
      <c r="K154">
        <v>5</v>
      </c>
      <c r="L154" t="s">
        <v>25</v>
      </c>
      <c r="M154">
        <f>I154*J154*(1-K154/100)</f>
        <v>51300</v>
      </c>
      <c r="N154" t="str">
        <f>TEXT(B154,"yyyy-mm")</f>
        <v>2025-03</v>
      </c>
    </row>
    <row r="155" spans="1:14" x14ac:dyDescent="0.3">
      <c r="A155">
        <v>5636</v>
      </c>
      <c r="B155" s="1">
        <v>45895</v>
      </c>
      <c r="C155">
        <v>1010</v>
      </c>
      <c r="D155" t="s">
        <v>44</v>
      </c>
      <c r="E155" t="s">
        <v>22</v>
      </c>
      <c r="F155" t="s">
        <v>23</v>
      </c>
      <c r="G155" t="s">
        <v>19</v>
      </c>
      <c r="H155" t="s">
        <v>16</v>
      </c>
      <c r="I155">
        <v>3</v>
      </c>
      <c r="J155">
        <v>9500</v>
      </c>
      <c r="K155">
        <v>5</v>
      </c>
      <c r="L155" t="s">
        <v>43</v>
      </c>
      <c r="M155">
        <f>I155*J155*(1-K155/100)</f>
        <v>27075</v>
      </c>
      <c r="N155" t="str">
        <f>TEXT(B155,"yyyy-mm")</f>
        <v>2025-08</v>
      </c>
    </row>
    <row r="156" spans="1:14" x14ac:dyDescent="0.3">
      <c r="A156">
        <v>5713</v>
      </c>
      <c r="B156" s="1">
        <v>45926</v>
      </c>
      <c r="C156">
        <v>1010</v>
      </c>
      <c r="D156" t="s">
        <v>44</v>
      </c>
      <c r="E156" t="s">
        <v>22</v>
      </c>
      <c r="F156" t="s">
        <v>23</v>
      </c>
      <c r="G156" t="s">
        <v>65</v>
      </c>
      <c r="H156" t="s">
        <v>16</v>
      </c>
      <c r="I156">
        <v>3</v>
      </c>
      <c r="J156">
        <v>12000</v>
      </c>
      <c r="K156">
        <v>5</v>
      </c>
      <c r="L156" t="s">
        <v>43</v>
      </c>
      <c r="M156">
        <f>I156*J156*(1-K156/100)</f>
        <v>34200</v>
      </c>
      <c r="N156" t="str">
        <f>TEXT(B156,"yyyy-mm")</f>
        <v>2025-09</v>
      </c>
    </row>
    <row r="157" spans="1:14" x14ac:dyDescent="0.3">
      <c r="A157">
        <v>5795</v>
      </c>
      <c r="B157" s="1">
        <v>45951</v>
      </c>
      <c r="C157">
        <v>1010</v>
      </c>
      <c r="D157" t="s">
        <v>44</v>
      </c>
      <c r="E157" t="s">
        <v>22</v>
      </c>
      <c r="F157" t="s">
        <v>23</v>
      </c>
      <c r="G157" t="s">
        <v>40</v>
      </c>
      <c r="H157" t="s">
        <v>38</v>
      </c>
      <c r="I157">
        <v>3</v>
      </c>
      <c r="J157">
        <v>900</v>
      </c>
      <c r="K157">
        <v>10</v>
      </c>
      <c r="L157" t="s">
        <v>20</v>
      </c>
      <c r="M157">
        <f>I157*J157*(1-K157/100)</f>
        <v>2430</v>
      </c>
      <c r="N157" t="str">
        <f>TEXT(B157,"yyyy-mm")</f>
        <v>2025-10</v>
      </c>
    </row>
    <row r="158" spans="1:14" x14ac:dyDescent="0.3">
      <c r="A158">
        <v>5256</v>
      </c>
      <c r="B158" s="1">
        <v>45750</v>
      </c>
      <c r="C158">
        <v>1010</v>
      </c>
      <c r="D158" t="s">
        <v>44</v>
      </c>
      <c r="E158" t="s">
        <v>22</v>
      </c>
      <c r="F158" t="s">
        <v>23</v>
      </c>
      <c r="G158" t="s">
        <v>55</v>
      </c>
      <c r="H158" t="s">
        <v>16</v>
      </c>
      <c r="I158">
        <v>2</v>
      </c>
      <c r="J158">
        <v>2500</v>
      </c>
      <c r="K158">
        <v>5</v>
      </c>
      <c r="L158" t="s">
        <v>43</v>
      </c>
      <c r="M158">
        <f>I158*J158*(1-K158/100)</f>
        <v>4750</v>
      </c>
      <c r="N158" t="str">
        <f>TEXT(B158,"yyyy-mm")</f>
        <v>2025-04</v>
      </c>
    </row>
    <row r="159" spans="1:14" x14ac:dyDescent="0.3">
      <c r="A159">
        <v>5647</v>
      </c>
      <c r="B159" s="1">
        <v>45899</v>
      </c>
      <c r="C159">
        <v>1010</v>
      </c>
      <c r="D159" t="s">
        <v>44</v>
      </c>
      <c r="E159" t="s">
        <v>22</v>
      </c>
      <c r="F159" t="s">
        <v>23</v>
      </c>
      <c r="G159" t="s">
        <v>30</v>
      </c>
      <c r="H159" t="s">
        <v>31</v>
      </c>
      <c r="I159">
        <v>2</v>
      </c>
      <c r="J159">
        <v>350</v>
      </c>
      <c r="K159">
        <v>10</v>
      </c>
      <c r="L159" t="s">
        <v>17</v>
      </c>
      <c r="M159">
        <f>I159*J159*(1-K159/100)</f>
        <v>630</v>
      </c>
      <c r="N159" t="str">
        <f>TEXT(B159,"yyyy-mm")</f>
        <v>2025-08</v>
      </c>
    </row>
    <row r="160" spans="1:14" x14ac:dyDescent="0.3">
      <c r="A160">
        <v>5237</v>
      </c>
      <c r="B160" s="1">
        <v>45745</v>
      </c>
      <c r="C160">
        <v>1010</v>
      </c>
      <c r="D160" t="s">
        <v>44</v>
      </c>
      <c r="E160" t="s">
        <v>22</v>
      </c>
      <c r="F160" t="s">
        <v>23</v>
      </c>
      <c r="G160" t="s">
        <v>42</v>
      </c>
      <c r="H160" t="s">
        <v>31</v>
      </c>
      <c r="I160">
        <v>1</v>
      </c>
      <c r="J160">
        <v>200</v>
      </c>
      <c r="K160">
        <v>0</v>
      </c>
      <c r="L160" t="s">
        <v>20</v>
      </c>
      <c r="M160">
        <f>I160*J160*(1-K160/100)</f>
        <v>200</v>
      </c>
      <c r="N160" t="str">
        <f>TEXT(B160,"yyyy-mm")</f>
        <v>2025-03</v>
      </c>
    </row>
    <row r="161" spans="1:14" x14ac:dyDescent="0.3">
      <c r="A161">
        <v>5296</v>
      </c>
      <c r="B161" s="1">
        <v>45767</v>
      </c>
      <c r="C161">
        <v>1010</v>
      </c>
      <c r="D161" t="s">
        <v>44</v>
      </c>
      <c r="E161" t="s">
        <v>22</v>
      </c>
      <c r="F161" t="s">
        <v>23</v>
      </c>
      <c r="G161" t="s">
        <v>30</v>
      </c>
      <c r="H161" t="s">
        <v>31</v>
      </c>
      <c r="I161">
        <v>1</v>
      </c>
      <c r="J161">
        <v>350</v>
      </c>
      <c r="K161">
        <v>0</v>
      </c>
      <c r="L161" t="s">
        <v>17</v>
      </c>
      <c r="M161">
        <f>I161*J161*(1-K161/100)</f>
        <v>350</v>
      </c>
      <c r="N161" t="str">
        <f>TEXT(B161,"yyyy-mm")</f>
        <v>2025-04</v>
      </c>
    </row>
    <row r="162" spans="1:14" x14ac:dyDescent="0.3">
      <c r="A162">
        <v>5355</v>
      </c>
      <c r="B162" s="1">
        <v>45793</v>
      </c>
      <c r="C162">
        <v>1010</v>
      </c>
      <c r="D162" t="s">
        <v>44</v>
      </c>
      <c r="E162" t="s">
        <v>22</v>
      </c>
      <c r="F162" t="s">
        <v>23</v>
      </c>
      <c r="G162" t="s">
        <v>40</v>
      </c>
      <c r="H162" t="s">
        <v>38</v>
      </c>
      <c r="I162">
        <v>1</v>
      </c>
      <c r="J162">
        <v>900</v>
      </c>
      <c r="K162">
        <v>0</v>
      </c>
      <c r="L162" t="s">
        <v>43</v>
      </c>
      <c r="M162">
        <f>I162*J162*(1-K162/100)</f>
        <v>900</v>
      </c>
      <c r="N162" t="str">
        <f>TEXT(B162,"yyyy-mm")</f>
        <v>2025-05</v>
      </c>
    </row>
    <row r="163" spans="1:14" x14ac:dyDescent="0.3">
      <c r="A163">
        <v>5554</v>
      </c>
      <c r="B163" s="1">
        <v>45865</v>
      </c>
      <c r="C163">
        <v>1010</v>
      </c>
      <c r="D163" t="s">
        <v>44</v>
      </c>
      <c r="E163" t="s">
        <v>22</v>
      </c>
      <c r="F163" t="s">
        <v>23</v>
      </c>
      <c r="G163" t="s">
        <v>30</v>
      </c>
      <c r="H163" t="s">
        <v>31</v>
      </c>
      <c r="I163">
        <v>1</v>
      </c>
      <c r="J163">
        <v>350</v>
      </c>
      <c r="K163">
        <v>5</v>
      </c>
      <c r="L163" t="s">
        <v>34</v>
      </c>
      <c r="M163">
        <f>I163*J163*(1-K163/100)</f>
        <v>332.5</v>
      </c>
      <c r="N163" t="str">
        <f>TEXT(B163,"yyyy-mm")</f>
        <v>2025-07</v>
      </c>
    </row>
    <row r="164" spans="1:14" x14ac:dyDescent="0.3">
      <c r="A164">
        <v>5133</v>
      </c>
      <c r="B164" s="1">
        <v>45703</v>
      </c>
      <c r="C164">
        <v>1011</v>
      </c>
      <c r="D164" t="s">
        <v>79</v>
      </c>
      <c r="E164" t="s">
        <v>22</v>
      </c>
      <c r="F164" t="s">
        <v>23</v>
      </c>
      <c r="G164" t="s">
        <v>37</v>
      </c>
      <c r="H164" t="s">
        <v>38</v>
      </c>
      <c r="I164">
        <v>5</v>
      </c>
      <c r="J164">
        <v>7500</v>
      </c>
      <c r="K164">
        <v>5</v>
      </c>
      <c r="L164" t="s">
        <v>20</v>
      </c>
      <c r="M164">
        <f>I164*J164*(1-K164/100)</f>
        <v>35625</v>
      </c>
      <c r="N164" t="str">
        <f>TEXT(B164,"yyyy-mm")</f>
        <v>2025-02</v>
      </c>
    </row>
    <row r="165" spans="1:14" x14ac:dyDescent="0.3">
      <c r="A165">
        <v>5732</v>
      </c>
      <c r="B165" s="1">
        <v>45931</v>
      </c>
      <c r="C165">
        <v>1011</v>
      </c>
      <c r="D165" t="s">
        <v>79</v>
      </c>
      <c r="E165" t="s">
        <v>22</v>
      </c>
      <c r="F165" t="s">
        <v>23</v>
      </c>
      <c r="G165" t="s">
        <v>30</v>
      </c>
      <c r="H165" t="s">
        <v>31</v>
      </c>
      <c r="I165">
        <v>5</v>
      </c>
      <c r="J165">
        <v>350</v>
      </c>
      <c r="K165">
        <v>10</v>
      </c>
      <c r="L165" t="s">
        <v>34</v>
      </c>
      <c r="M165">
        <f>I165*J165*(1-K165/100)</f>
        <v>1575</v>
      </c>
      <c r="N165" t="str">
        <f>TEXT(B165,"yyyy-mm")</f>
        <v>2025-10</v>
      </c>
    </row>
    <row r="166" spans="1:14" x14ac:dyDescent="0.3">
      <c r="A166">
        <v>5900</v>
      </c>
      <c r="B166" s="1">
        <v>45992</v>
      </c>
      <c r="C166">
        <v>1011</v>
      </c>
      <c r="D166" t="s">
        <v>79</v>
      </c>
      <c r="E166" t="s">
        <v>22</v>
      </c>
      <c r="F166" t="s">
        <v>23</v>
      </c>
      <c r="G166" t="s">
        <v>52</v>
      </c>
      <c r="H166" t="s">
        <v>16</v>
      </c>
      <c r="I166">
        <v>5</v>
      </c>
      <c r="J166">
        <v>6000</v>
      </c>
      <c r="K166">
        <v>10</v>
      </c>
      <c r="L166" t="s">
        <v>25</v>
      </c>
      <c r="M166">
        <f>I166*J166*(1-K166/100)</f>
        <v>27000</v>
      </c>
      <c r="N166" t="str">
        <f>TEXT(B166,"yyyy-mm")</f>
        <v>2025-12</v>
      </c>
    </row>
    <row r="167" spans="1:14" x14ac:dyDescent="0.3">
      <c r="A167">
        <v>5948</v>
      </c>
      <c r="B167" s="1">
        <v>46005</v>
      </c>
      <c r="C167">
        <v>1011</v>
      </c>
      <c r="D167" t="s">
        <v>79</v>
      </c>
      <c r="E167" t="s">
        <v>22</v>
      </c>
      <c r="F167" t="s">
        <v>23</v>
      </c>
      <c r="G167" t="s">
        <v>57</v>
      </c>
      <c r="H167" t="s">
        <v>38</v>
      </c>
      <c r="I167">
        <v>5</v>
      </c>
      <c r="J167">
        <v>16000</v>
      </c>
      <c r="K167">
        <v>10</v>
      </c>
      <c r="L167" t="s">
        <v>20</v>
      </c>
      <c r="M167">
        <f>I167*J167*(1-K167/100)</f>
        <v>72000</v>
      </c>
      <c r="N167" t="str">
        <f>TEXT(B167,"yyyy-mm")</f>
        <v>2025-12</v>
      </c>
    </row>
    <row r="168" spans="1:14" x14ac:dyDescent="0.3">
      <c r="A168">
        <v>5339</v>
      </c>
      <c r="B168" s="1">
        <v>45782</v>
      </c>
      <c r="C168">
        <v>1011</v>
      </c>
      <c r="D168" t="s">
        <v>79</v>
      </c>
      <c r="E168" t="s">
        <v>22</v>
      </c>
      <c r="F168" t="s">
        <v>23</v>
      </c>
      <c r="G168" t="s">
        <v>65</v>
      </c>
      <c r="H168" t="s">
        <v>16</v>
      </c>
      <c r="I168">
        <v>4</v>
      </c>
      <c r="J168">
        <v>12000</v>
      </c>
      <c r="K168">
        <v>0</v>
      </c>
      <c r="L168" t="s">
        <v>25</v>
      </c>
      <c r="M168">
        <f>I168*J168*(1-K168/100)</f>
        <v>48000</v>
      </c>
      <c r="N168" t="str">
        <f>TEXT(B168,"yyyy-mm")</f>
        <v>2025-05</v>
      </c>
    </row>
    <row r="169" spans="1:14" x14ac:dyDescent="0.3">
      <c r="A169">
        <v>5316</v>
      </c>
      <c r="B169" s="1">
        <v>45773</v>
      </c>
      <c r="C169">
        <v>1011</v>
      </c>
      <c r="D169" t="s">
        <v>79</v>
      </c>
      <c r="E169" t="s">
        <v>22</v>
      </c>
      <c r="F169" t="s">
        <v>23</v>
      </c>
      <c r="G169" t="s">
        <v>42</v>
      </c>
      <c r="H169" t="s">
        <v>31</v>
      </c>
      <c r="I169">
        <v>3</v>
      </c>
      <c r="J169">
        <v>200</v>
      </c>
      <c r="K169">
        <v>0</v>
      </c>
      <c r="L169" t="s">
        <v>17</v>
      </c>
      <c r="M169">
        <f>I169*J169*(1-K169/100)</f>
        <v>600</v>
      </c>
      <c r="N169" t="str">
        <f>TEXT(B169,"yyyy-mm")</f>
        <v>2025-04</v>
      </c>
    </row>
    <row r="170" spans="1:14" x14ac:dyDescent="0.3">
      <c r="A170">
        <v>5583</v>
      </c>
      <c r="B170" s="1">
        <v>45877</v>
      </c>
      <c r="C170">
        <v>1011</v>
      </c>
      <c r="D170" t="s">
        <v>79</v>
      </c>
      <c r="E170" t="s">
        <v>22</v>
      </c>
      <c r="F170" t="s">
        <v>23</v>
      </c>
      <c r="G170" t="s">
        <v>42</v>
      </c>
      <c r="H170" t="s">
        <v>31</v>
      </c>
      <c r="I170">
        <v>3</v>
      </c>
      <c r="J170">
        <v>200</v>
      </c>
      <c r="K170">
        <v>0</v>
      </c>
      <c r="L170" t="s">
        <v>25</v>
      </c>
      <c r="M170">
        <f>I170*J170*(1-K170/100)</f>
        <v>600</v>
      </c>
      <c r="N170" t="str">
        <f>TEXT(B170,"yyyy-mm")</f>
        <v>2025-08</v>
      </c>
    </row>
    <row r="171" spans="1:14" x14ac:dyDescent="0.3">
      <c r="A171">
        <v>5847</v>
      </c>
      <c r="B171" s="1">
        <v>45968</v>
      </c>
      <c r="C171">
        <v>1011</v>
      </c>
      <c r="D171" t="s">
        <v>79</v>
      </c>
      <c r="E171" t="s">
        <v>22</v>
      </c>
      <c r="F171" t="s">
        <v>23</v>
      </c>
      <c r="G171" t="s">
        <v>55</v>
      </c>
      <c r="H171" t="s">
        <v>16</v>
      </c>
      <c r="I171">
        <v>3</v>
      </c>
      <c r="J171">
        <v>2500</v>
      </c>
      <c r="K171">
        <v>5</v>
      </c>
      <c r="L171" t="s">
        <v>25</v>
      </c>
      <c r="M171">
        <f>I171*J171*(1-K171/100)</f>
        <v>7125</v>
      </c>
      <c r="N171" t="str">
        <f>TEXT(B171,"yyyy-mm")</f>
        <v>2025-11</v>
      </c>
    </row>
    <row r="172" spans="1:14" x14ac:dyDescent="0.3">
      <c r="A172">
        <v>5105</v>
      </c>
      <c r="B172" s="1">
        <v>45696</v>
      </c>
      <c r="C172">
        <v>1011</v>
      </c>
      <c r="D172" t="s">
        <v>79</v>
      </c>
      <c r="E172" t="s">
        <v>22</v>
      </c>
      <c r="F172" t="s">
        <v>23</v>
      </c>
      <c r="G172" t="s">
        <v>24</v>
      </c>
      <c r="H172" t="s">
        <v>16</v>
      </c>
      <c r="I172">
        <v>2</v>
      </c>
      <c r="J172">
        <v>22000</v>
      </c>
      <c r="K172">
        <v>10</v>
      </c>
      <c r="L172" t="s">
        <v>34</v>
      </c>
      <c r="M172">
        <f>I172*J172*(1-K172/100)</f>
        <v>39600</v>
      </c>
      <c r="N172" t="str">
        <f>TEXT(B172,"yyyy-mm")</f>
        <v>2025-02</v>
      </c>
    </row>
    <row r="173" spans="1:14" x14ac:dyDescent="0.3">
      <c r="A173">
        <v>5586</v>
      </c>
      <c r="B173" s="1">
        <v>45878</v>
      </c>
      <c r="C173">
        <v>1011</v>
      </c>
      <c r="D173" t="s">
        <v>79</v>
      </c>
      <c r="E173" t="s">
        <v>22</v>
      </c>
      <c r="F173" t="s">
        <v>23</v>
      </c>
      <c r="G173" t="s">
        <v>42</v>
      </c>
      <c r="H173" t="s">
        <v>31</v>
      </c>
      <c r="I173">
        <v>2</v>
      </c>
      <c r="J173">
        <v>200</v>
      </c>
      <c r="K173">
        <v>0</v>
      </c>
      <c r="L173" t="s">
        <v>43</v>
      </c>
      <c r="M173">
        <f>I173*J173*(1-K173/100)</f>
        <v>400</v>
      </c>
      <c r="N173" t="str">
        <f>TEXT(B173,"yyyy-mm")</f>
        <v>2025-08</v>
      </c>
    </row>
    <row r="174" spans="1:14" x14ac:dyDescent="0.3">
      <c r="A174">
        <v>5803</v>
      </c>
      <c r="B174" s="1">
        <v>45957</v>
      </c>
      <c r="C174">
        <v>1011</v>
      </c>
      <c r="D174" t="s">
        <v>79</v>
      </c>
      <c r="E174" t="s">
        <v>22</v>
      </c>
      <c r="F174" t="s">
        <v>23</v>
      </c>
      <c r="G174" t="s">
        <v>40</v>
      </c>
      <c r="H174" t="s">
        <v>38</v>
      </c>
      <c r="I174">
        <v>2</v>
      </c>
      <c r="J174">
        <v>900</v>
      </c>
      <c r="K174">
        <v>0</v>
      </c>
      <c r="L174" t="s">
        <v>43</v>
      </c>
      <c r="M174">
        <f>I174*J174*(1-K174/100)</f>
        <v>1800</v>
      </c>
      <c r="N174" t="str">
        <f>TEXT(B174,"yyyy-mm")</f>
        <v>2025-10</v>
      </c>
    </row>
    <row r="175" spans="1:14" x14ac:dyDescent="0.3">
      <c r="A175">
        <v>5402</v>
      </c>
      <c r="B175" s="1">
        <v>45812</v>
      </c>
      <c r="C175">
        <v>1011</v>
      </c>
      <c r="D175" t="s">
        <v>79</v>
      </c>
      <c r="E175" t="s">
        <v>22</v>
      </c>
      <c r="F175" t="s">
        <v>23</v>
      </c>
      <c r="G175" t="s">
        <v>37</v>
      </c>
      <c r="H175" t="s">
        <v>38</v>
      </c>
      <c r="I175">
        <v>1</v>
      </c>
      <c r="J175">
        <v>7500</v>
      </c>
      <c r="K175">
        <v>0</v>
      </c>
      <c r="L175" t="s">
        <v>34</v>
      </c>
      <c r="M175">
        <f>I175*J175*(1-K175/100)</f>
        <v>7500</v>
      </c>
      <c r="N175" t="str">
        <f>TEXT(B175,"yyyy-mm")</f>
        <v>2025-06</v>
      </c>
    </row>
    <row r="176" spans="1:14" x14ac:dyDescent="0.3">
      <c r="A176">
        <v>5629</v>
      </c>
      <c r="B176" s="1">
        <v>45894</v>
      </c>
      <c r="C176">
        <v>1011</v>
      </c>
      <c r="D176" t="s">
        <v>79</v>
      </c>
      <c r="E176" t="s">
        <v>22</v>
      </c>
      <c r="F176" t="s">
        <v>23</v>
      </c>
      <c r="G176" t="s">
        <v>52</v>
      </c>
      <c r="H176" t="s">
        <v>16</v>
      </c>
      <c r="I176">
        <v>1</v>
      </c>
      <c r="J176">
        <v>6000</v>
      </c>
      <c r="K176">
        <v>0</v>
      </c>
      <c r="L176" t="s">
        <v>25</v>
      </c>
      <c r="M176">
        <f>I176*J176*(1-K176/100)</f>
        <v>6000</v>
      </c>
      <c r="N176" t="str">
        <f>TEXT(B176,"yyyy-mm")</f>
        <v>2025-08</v>
      </c>
    </row>
    <row r="177" spans="1:14" x14ac:dyDescent="0.3">
      <c r="A177">
        <v>5997</v>
      </c>
      <c r="B177" s="1">
        <v>46021</v>
      </c>
      <c r="C177">
        <v>1011</v>
      </c>
      <c r="D177" t="s">
        <v>79</v>
      </c>
      <c r="E177" t="s">
        <v>22</v>
      </c>
      <c r="F177" t="s">
        <v>23</v>
      </c>
      <c r="G177" t="s">
        <v>24</v>
      </c>
      <c r="H177" t="s">
        <v>16</v>
      </c>
      <c r="I177">
        <v>1</v>
      </c>
      <c r="J177">
        <v>22000</v>
      </c>
      <c r="K177">
        <v>0</v>
      </c>
      <c r="L177" t="s">
        <v>17</v>
      </c>
      <c r="M177">
        <f>I177*J177*(1-K177/100)</f>
        <v>22000</v>
      </c>
      <c r="N177" t="str">
        <f>TEXT(B177,"yyyy-mm")</f>
        <v>2025-12</v>
      </c>
    </row>
    <row r="178" spans="1:14" x14ac:dyDescent="0.3">
      <c r="A178">
        <v>5404</v>
      </c>
      <c r="B178" s="1">
        <v>45813</v>
      </c>
      <c r="C178">
        <v>1012</v>
      </c>
      <c r="D178" t="s">
        <v>56</v>
      </c>
      <c r="E178" t="s">
        <v>22</v>
      </c>
      <c r="F178" t="s">
        <v>27</v>
      </c>
      <c r="G178" t="s">
        <v>52</v>
      </c>
      <c r="H178" t="s">
        <v>16</v>
      </c>
      <c r="I178">
        <v>5</v>
      </c>
      <c r="J178">
        <v>6000</v>
      </c>
      <c r="K178">
        <v>10</v>
      </c>
      <c r="L178" t="s">
        <v>20</v>
      </c>
      <c r="M178">
        <f>I178*J178*(1-K178/100)</f>
        <v>27000</v>
      </c>
      <c r="N178" t="str">
        <f>TEXT(B178,"yyyy-mm")</f>
        <v>2025-06</v>
      </c>
    </row>
    <row r="179" spans="1:14" x14ac:dyDescent="0.3">
      <c r="A179">
        <v>5591</v>
      </c>
      <c r="B179" s="1">
        <v>45881</v>
      </c>
      <c r="C179">
        <v>1012</v>
      </c>
      <c r="D179" t="s">
        <v>56</v>
      </c>
      <c r="E179" t="s">
        <v>22</v>
      </c>
      <c r="F179" t="s">
        <v>27</v>
      </c>
      <c r="G179" t="s">
        <v>55</v>
      </c>
      <c r="H179" t="s">
        <v>16</v>
      </c>
      <c r="I179">
        <v>5</v>
      </c>
      <c r="J179">
        <v>2500</v>
      </c>
      <c r="K179">
        <v>10</v>
      </c>
      <c r="L179" t="s">
        <v>20</v>
      </c>
      <c r="M179">
        <f>I179*J179*(1-K179/100)</f>
        <v>11250</v>
      </c>
      <c r="N179" t="str">
        <f>TEXT(B179,"yyyy-mm")</f>
        <v>2025-08</v>
      </c>
    </row>
    <row r="180" spans="1:14" x14ac:dyDescent="0.3">
      <c r="A180">
        <v>5660</v>
      </c>
      <c r="B180" s="1">
        <v>45905</v>
      </c>
      <c r="C180">
        <v>1012</v>
      </c>
      <c r="D180" t="s">
        <v>56</v>
      </c>
      <c r="E180" t="s">
        <v>22</v>
      </c>
      <c r="F180" t="s">
        <v>27</v>
      </c>
      <c r="G180" t="s">
        <v>24</v>
      </c>
      <c r="H180" t="s">
        <v>16</v>
      </c>
      <c r="I180">
        <v>5</v>
      </c>
      <c r="J180">
        <v>22000</v>
      </c>
      <c r="K180">
        <v>0</v>
      </c>
      <c r="L180" t="s">
        <v>17</v>
      </c>
      <c r="M180">
        <f>I180*J180*(1-K180/100)</f>
        <v>110000</v>
      </c>
      <c r="N180" t="str">
        <f>TEXT(B180,"yyyy-mm")</f>
        <v>2025-09</v>
      </c>
    </row>
    <row r="181" spans="1:14" x14ac:dyDescent="0.3">
      <c r="A181">
        <v>5771</v>
      </c>
      <c r="B181" s="1">
        <v>45944</v>
      </c>
      <c r="C181">
        <v>1012</v>
      </c>
      <c r="D181" t="s">
        <v>56</v>
      </c>
      <c r="E181" t="s">
        <v>22</v>
      </c>
      <c r="F181" t="s">
        <v>27</v>
      </c>
      <c r="G181" t="s">
        <v>57</v>
      </c>
      <c r="H181" t="s">
        <v>38</v>
      </c>
      <c r="I181">
        <v>5</v>
      </c>
      <c r="J181">
        <v>16000</v>
      </c>
      <c r="K181">
        <v>10</v>
      </c>
      <c r="L181" t="s">
        <v>43</v>
      </c>
      <c r="M181">
        <f>I181*J181*(1-K181/100)</f>
        <v>72000</v>
      </c>
      <c r="N181" t="str">
        <f>TEXT(B181,"yyyy-mm")</f>
        <v>2025-10</v>
      </c>
    </row>
    <row r="182" spans="1:14" x14ac:dyDescent="0.3">
      <c r="A182">
        <v>5794</v>
      </c>
      <c r="B182" s="1">
        <v>45951</v>
      </c>
      <c r="C182">
        <v>1012</v>
      </c>
      <c r="D182" t="s">
        <v>56</v>
      </c>
      <c r="E182" t="s">
        <v>22</v>
      </c>
      <c r="F182" t="s">
        <v>27</v>
      </c>
      <c r="G182" t="s">
        <v>15</v>
      </c>
      <c r="H182" t="s">
        <v>16</v>
      </c>
      <c r="I182">
        <v>5</v>
      </c>
      <c r="J182">
        <v>18000</v>
      </c>
      <c r="K182">
        <v>0</v>
      </c>
      <c r="L182" t="s">
        <v>20</v>
      </c>
      <c r="M182">
        <f>I182*J182*(1-K182/100)</f>
        <v>90000</v>
      </c>
      <c r="N182" t="str">
        <f>TEXT(B182,"yyyy-mm")</f>
        <v>2025-10</v>
      </c>
    </row>
    <row r="183" spans="1:14" x14ac:dyDescent="0.3">
      <c r="A183">
        <v>5234</v>
      </c>
      <c r="B183" s="1">
        <v>45744</v>
      </c>
      <c r="C183">
        <v>1012</v>
      </c>
      <c r="D183" t="s">
        <v>56</v>
      </c>
      <c r="E183" t="s">
        <v>22</v>
      </c>
      <c r="F183" t="s">
        <v>27</v>
      </c>
      <c r="G183" t="s">
        <v>65</v>
      </c>
      <c r="H183" t="s">
        <v>16</v>
      </c>
      <c r="I183">
        <v>4</v>
      </c>
      <c r="J183">
        <v>12000</v>
      </c>
      <c r="K183">
        <v>0</v>
      </c>
      <c r="L183" t="s">
        <v>34</v>
      </c>
      <c r="M183">
        <f>I183*J183*(1-K183/100)</f>
        <v>48000</v>
      </c>
      <c r="N183" t="str">
        <f>TEXT(B183,"yyyy-mm")</f>
        <v>2025-03</v>
      </c>
    </row>
    <row r="184" spans="1:14" x14ac:dyDescent="0.3">
      <c r="A184">
        <v>5223</v>
      </c>
      <c r="B184" s="1">
        <v>45741</v>
      </c>
      <c r="C184">
        <v>1012</v>
      </c>
      <c r="D184" t="s">
        <v>56</v>
      </c>
      <c r="E184" t="s">
        <v>22</v>
      </c>
      <c r="F184" t="s">
        <v>27</v>
      </c>
      <c r="G184" t="s">
        <v>37</v>
      </c>
      <c r="H184" t="s">
        <v>38</v>
      </c>
      <c r="I184">
        <v>3</v>
      </c>
      <c r="J184">
        <v>7500</v>
      </c>
      <c r="K184">
        <v>0</v>
      </c>
      <c r="L184" t="s">
        <v>34</v>
      </c>
      <c r="M184">
        <f>I184*J184*(1-K184/100)</f>
        <v>22500</v>
      </c>
      <c r="N184" t="str">
        <f>TEXT(B184,"yyyy-mm")</f>
        <v>2025-03</v>
      </c>
    </row>
    <row r="185" spans="1:14" x14ac:dyDescent="0.3">
      <c r="A185">
        <v>5487</v>
      </c>
      <c r="B185" s="1">
        <v>45843</v>
      </c>
      <c r="C185">
        <v>1012</v>
      </c>
      <c r="D185" t="s">
        <v>56</v>
      </c>
      <c r="E185" t="s">
        <v>22</v>
      </c>
      <c r="F185" t="s">
        <v>27</v>
      </c>
      <c r="G185" t="s">
        <v>37</v>
      </c>
      <c r="H185" t="s">
        <v>38</v>
      </c>
      <c r="I185">
        <v>3</v>
      </c>
      <c r="J185">
        <v>7500</v>
      </c>
      <c r="K185">
        <v>10</v>
      </c>
      <c r="L185" t="s">
        <v>17</v>
      </c>
      <c r="M185">
        <f>I185*J185*(1-K185/100)</f>
        <v>20250</v>
      </c>
      <c r="N185" t="str">
        <f>TEXT(B185,"yyyy-mm")</f>
        <v>2025-07</v>
      </c>
    </row>
    <row r="186" spans="1:14" x14ac:dyDescent="0.3">
      <c r="A186">
        <v>5026</v>
      </c>
      <c r="B186" s="1">
        <v>45666</v>
      </c>
      <c r="C186">
        <v>1012</v>
      </c>
      <c r="D186" t="s">
        <v>56</v>
      </c>
      <c r="E186" t="s">
        <v>22</v>
      </c>
      <c r="F186" t="s">
        <v>27</v>
      </c>
      <c r="G186" t="s">
        <v>42</v>
      </c>
      <c r="H186" t="s">
        <v>31</v>
      </c>
      <c r="I186">
        <v>2</v>
      </c>
      <c r="J186">
        <v>200</v>
      </c>
      <c r="K186">
        <v>0</v>
      </c>
      <c r="L186" t="s">
        <v>25</v>
      </c>
      <c r="M186">
        <f>I186*J186*(1-K186/100)</f>
        <v>400</v>
      </c>
      <c r="N186" t="str">
        <f>TEXT(B186,"yyyy-mm")</f>
        <v>2025-01</v>
      </c>
    </row>
    <row r="187" spans="1:14" x14ac:dyDescent="0.3">
      <c r="A187">
        <v>5045</v>
      </c>
      <c r="B187" s="1">
        <v>45673</v>
      </c>
      <c r="C187">
        <v>1012</v>
      </c>
      <c r="D187" t="s">
        <v>56</v>
      </c>
      <c r="E187" t="s">
        <v>22</v>
      </c>
      <c r="F187" t="s">
        <v>27</v>
      </c>
      <c r="G187" t="s">
        <v>19</v>
      </c>
      <c r="H187" t="s">
        <v>16</v>
      </c>
      <c r="I187">
        <v>2</v>
      </c>
      <c r="J187">
        <v>9500</v>
      </c>
      <c r="K187">
        <v>10</v>
      </c>
      <c r="L187" t="s">
        <v>17</v>
      </c>
      <c r="M187">
        <f>I187*J187*(1-K187/100)</f>
        <v>17100</v>
      </c>
      <c r="N187" t="str">
        <f>TEXT(B187,"yyyy-mm")</f>
        <v>2025-01</v>
      </c>
    </row>
    <row r="188" spans="1:14" x14ac:dyDescent="0.3">
      <c r="A188">
        <v>5351</v>
      </c>
      <c r="B188" s="1">
        <v>45792</v>
      </c>
      <c r="C188">
        <v>1012</v>
      </c>
      <c r="D188" t="s">
        <v>56</v>
      </c>
      <c r="E188" t="s">
        <v>87</v>
      </c>
      <c r="F188" t="s">
        <v>27</v>
      </c>
      <c r="G188" t="s">
        <v>42</v>
      </c>
      <c r="H188" t="s">
        <v>31</v>
      </c>
      <c r="I188">
        <v>2</v>
      </c>
      <c r="J188">
        <v>200</v>
      </c>
      <c r="K188">
        <v>10</v>
      </c>
      <c r="L188" t="s">
        <v>20</v>
      </c>
      <c r="M188">
        <f>I188*J188*(1-K188/100)</f>
        <v>360</v>
      </c>
      <c r="N188" t="str">
        <f>TEXT(B188,"yyyy-mm")</f>
        <v>2025-05</v>
      </c>
    </row>
    <row r="189" spans="1:14" x14ac:dyDescent="0.3">
      <c r="A189">
        <v>5920</v>
      </c>
      <c r="B189" s="1">
        <v>45996</v>
      </c>
      <c r="C189">
        <v>1012</v>
      </c>
      <c r="D189" t="s">
        <v>56</v>
      </c>
      <c r="E189" t="s">
        <v>22</v>
      </c>
      <c r="F189" t="s">
        <v>27</v>
      </c>
      <c r="G189" t="s">
        <v>30</v>
      </c>
      <c r="H189" t="s">
        <v>31</v>
      </c>
      <c r="I189">
        <v>2</v>
      </c>
      <c r="J189">
        <v>350</v>
      </c>
      <c r="K189">
        <v>0</v>
      </c>
      <c r="L189" t="s">
        <v>34</v>
      </c>
      <c r="M189">
        <f>I189*J189*(1-K189/100)</f>
        <v>700</v>
      </c>
      <c r="N189" t="str">
        <f>TEXT(B189,"yyyy-mm")</f>
        <v>2025-12</v>
      </c>
    </row>
    <row r="190" spans="1:14" x14ac:dyDescent="0.3">
      <c r="A190">
        <v>5132</v>
      </c>
      <c r="B190" s="1">
        <v>45703</v>
      </c>
      <c r="C190">
        <v>1012</v>
      </c>
      <c r="D190" t="s">
        <v>56</v>
      </c>
      <c r="E190" t="s">
        <v>22</v>
      </c>
      <c r="F190" t="s">
        <v>27</v>
      </c>
      <c r="G190" t="s">
        <v>37</v>
      </c>
      <c r="H190" t="s">
        <v>38</v>
      </c>
      <c r="I190">
        <v>1</v>
      </c>
      <c r="J190">
        <v>7500</v>
      </c>
      <c r="K190">
        <v>0</v>
      </c>
      <c r="L190" t="s">
        <v>25</v>
      </c>
      <c r="M190">
        <f>I190*J190*(1-K190/100)</f>
        <v>7500</v>
      </c>
      <c r="N190" t="str">
        <f>TEXT(B190,"yyyy-mm")</f>
        <v>2025-02</v>
      </c>
    </row>
    <row r="191" spans="1:14" x14ac:dyDescent="0.3">
      <c r="A191">
        <v>5363</v>
      </c>
      <c r="B191" s="1">
        <v>45795</v>
      </c>
      <c r="C191">
        <v>1012</v>
      </c>
      <c r="D191" t="s">
        <v>56</v>
      </c>
      <c r="E191" t="s">
        <v>22</v>
      </c>
      <c r="F191" t="s">
        <v>27</v>
      </c>
      <c r="G191" t="s">
        <v>30</v>
      </c>
      <c r="H191" t="s">
        <v>31</v>
      </c>
      <c r="I191">
        <v>1</v>
      </c>
      <c r="J191">
        <v>350</v>
      </c>
      <c r="K191">
        <v>10</v>
      </c>
      <c r="L191" t="s">
        <v>34</v>
      </c>
      <c r="M191">
        <f>I191*J191*(1-K191/100)</f>
        <v>315</v>
      </c>
      <c r="N191" t="str">
        <f>TEXT(B191,"yyyy-mm")</f>
        <v>2025-05</v>
      </c>
    </row>
    <row r="192" spans="1:14" x14ac:dyDescent="0.3">
      <c r="A192">
        <v>5470</v>
      </c>
      <c r="B192" s="1">
        <v>45837</v>
      </c>
      <c r="C192">
        <v>1012</v>
      </c>
      <c r="D192" t="s">
        <v>56</v>
      </c>
      <c r="E192" t="s">
        <v>22</v>
      </c>
      <c r="F192" t="s">
        <v>27</v>
      </c>
      <c r="G192" t="s">
        <v>36</v>
      </c>
      <c r="H192" t="s">
        <v>16</v>
      </c>
      <c r="I192">
        <v>1</v>
      </c>
      <c r="J192">
        <v>55000</v>
      </c>
      <c r="K192">
        <v>0</v>
      </c>
      <c r="L192" t="s">
        <v>25</v>
      </c>
      <c r="M192">
        <f>I192*J192*(1-K192/100)</f>
        <v>55000</v>
      </c>
      <c r="N192" t="str">
        <f>TEXT(B192,"yyyy-mm")</f>
        <v>2025-06</v>
      </c>
    </row>
    <row r="193" spans="1:14" x14ac:dyDescent="0.3">
      <c r="A193">
        <v>5498</v>
      </c>
      <c r="B193" s="1">
        <v>45846</v>
      </c>
      <c r="C193">
        <v>1012</v>
      </c>
      <c r="D193" t="s">
        <v>56</v>
      </c>
      <c r="E193" t="s">
        <v>22</v>
      </c>
      <c r="F193" t="s">
        <v>27</v>
      </c>
      <c r="G193" t="s">
        <v>40</v>
      </c>
      <c r="H193" t="s">
        <v>38</v>
      </c>
      <c r="I193">
        <v>1</v>
      </c>
      <c r="J193">
        <v>900</v>
      </c>
      <c r="K193">
        <v>5</v>
      </c>
      <c r="L193" t="s">
        <v>43</v>
      </c>
      <c r="M193">
        <f>I193*J193*(1-K193/100)</f>
        <v>855</v>
      </c>
      <c r="N193" t="str">
        <f>TEXT(B193,"yyyy-mm")</f>
        <v>2025-07</v>
      </c>
    </row>
    <row r="194" spans="1:14" x14ac:dyDescent="0.3">
      <c r="A194">
        <v>5064</v>
      </c>
      <c r="B194" s="1">
        <v>45678</v>
      </c>
      <c r="C194">
        <v>1013</v>
      </c>
      <c r="D194" t="s">
        <v>26</v>
      </c>
      <c r="E194" t="s">
        <v>29</v>
      </c>
      <c r="F194" t="s">
        <v>14</v>
      </c>
      <c r="G194" t="s">
        <v>52</v>
      </c>
      <c r="H194" t="s">
        <v>16</v>
      </c>
      <c r="I194">
        <v>5</v>
      </c>
      <c r="J194">
        <v>6000</v>
      </c>
      <c r="K194">
        <v>0</v>
      </c>
      <c r="L194" t="s">
        <v>43</v>
      </c>
      <c r="M194">
        <f>I194*J194*(1-K194/100)</f>
        <v>30000</v>
      </c>
      <c r="N194" t="str">
        <f>TEXT(B194,"yyyy-mm")</f>
        <v>2025-01</v>
      </c>
    </row>
    <row r="195" spans="1:14" x14ac:dyDescent="0.3">
      <c r="A195">
        <v>5282</v>
      </c>
      <c r="B195" s="1">
        <v>45763</v>
      </c>
      <c r="C195">
        <v>1013</v>
      </c>
      <c r="D195" t="s">
        <v>26</v>
      </c>
      <c r="E195" t="s">
        <v>29</v>
      </c>
      <c r="F195" t="s">
        <v>14</v>
      </c>
      <c r="G195" t="s">
        <v>30</v>
      </c>
      <c r="H195" t="s">
        <v>31</v>
      </c>
      <c r="I195">
        <v>5</v>
      </c>
      <c r="J195">
        <v>350</v>
      </c>
      <c r="K195">
        <v>0</v>
      </c>
      <c r="L195" t="s">
        <v>20</v>
      </c>
      <c r="M195">
        <f>I195*J195*(1-K195/100)</f>
        <v>1750</v>
      </c>
      <c r="N195" t="str">
        <f>TEXT(B195,"yyyy-mm")</f>
        <v>2025-04</v>
      </c>
    </row>
    <row r="196" spans="1:14" x14ac:dyDescent="0.3">
      <c r="A196">
        <v>5572</v>
      </c>
      <c r="B196" s="1">
        <v>45873</v>
      </c>
      <c r="C196">
        <v>1013</v>
      </c>
      <c r="D196" t="s">
        <v>26</v>
      </c>
      <c r="E196" t="s">
        <v>29</v>
      </c>
      <c r="F196" t="s">
        <v>14</v>
      </c>
      <c r="G196" t="s">
        <v>55</v>
      </c>
      <c r="H196" t="s">
        <v>16</v>
      </c>
      <c r="I196">
        <v>5</v>
      </c>
      <c r="J196">
        <v>2500</v>
      </c>
      <c r="K196">
        <v>10</v>
      </c>
      <c r="L196" t="s">
        <v>20</v>
      </c>
      <c r="M196">
        <f>I196*J196*(1-K196/100)</f>
        <v>11250</v>
      </c>
      <c r="N196" t="str">
        <f>TEXT(B196,"yyyy-mm")</f>
        <v>2025-08</v>
      </c>
    </row>
    <row r="197" spans="1:14" x14ac:dyDescent="0.3">
      <c r="A197">
        <v>5688</v>
      </c>
      <c r="B197" s="1">
        <v>45918</v>
      </c>
      <c r="C197">
        <v>1013</v>
      </c>
      <c r="D197" t="s">
        <v>26</v>
      </c>
      <c r="E197" t="s">
        <v>87</v>
      </c>
      <c r="F197" t="s">
        <v>14</v>
      </c>
      <c r="G197" t="s">
        <v>37</v>
      </c>
      <c r="H197" t="s">
        <v>38</v>
      </c>
      <c r="I197">
        <v>5</v>
      </c>
      <c r="J197">
        <v>7500</v>
      </c>
      <c r="K197">
        <v>10</v>
      </c>
      <c r="L197" t="s">
        <v>20</v>
      </c>
      <c r="M197">
        <f>I197*J197*(1-K197/100)</f>
        <v>33750</v>
      </c>
      <c r="N197" t="str">
        <f>TEXT(B197,"yyyy-mm")</f>
        <v>2025-09</v>
      </c>
    </row>
    <row r="198" spans="1:14" x14ac:dyDescent="0.3">
      <c r="A198">
        <v>5689</v>
      </c>
      <c r="B198" s="1">
        <v>45918</v>
      </c>
      <c r="C198">
        <v>1013</v>
      </c>
      <c r="D198" t="s">
        <v>26</v>
      </c>
      <c r="E198" t="s">
        <v>29</v>
      </c>
      <c r="F198" t="s">
        <v>14</v>
      </c>
      <c r="G198" t="s">
        <v>40</v>
      </c>
      <c r="H198" t="s">
        <v>38</v>
      </c>
      <c r="I198">
        <v>5</v>
      </c>
      <c r="J198">
        <v>900</v>
      </c>
      <c r="K198">
        <v>0</v>
      </c>
      <c r="L198" t="s">
        <v>43</v>
      </c>
      <c r="M198">
        <f>I198*J198*(1-K198/100)</f>
        <v>4500</v>
      </c>
      <c r="N198" t="str">
        <f>TEXT(B198,"yyyy-mm")</f>
        <v>2025-09</v>
      </c>
    </row>
    <row r="199" spans="1:14" x14ac:dyDescent="0.3">
      <c r="A199">
        <v>5445</v>
      </c>
      <c r="B199" s="1">
        <v>45827</v>
      </c>
      <c r="C199">
        <v>1013</v>
      </c>
      <c r="D199" t="s">
        <v>26</v>
      </c>
      <c r="E199" t="s">
        <v>29</v>
      </c>
      <c r="F199" t="s">
        <v>14</v>
      </c>
      <c r="G199" t="s">
        <v>40</v>
      </c>
      <c r="H199" t="s">
        <v>38</v>
      </c>
      <c r="I199">
        <v>4</v>
      </c>
      <c r="J199">
        <v>900</v>
      </c>
      <c r="K199">
        <v>0</v>
      </c>
      <c r="L199" t="s">
        <v>43</v>
      </c>
      <c r="M199">
        <f>I199*J199*(1-K199/100)</f>
        <v>3600</v>
      </c>
      <c r="N199" t="str">
        <f>TEXT(B199,"yyyy-mm")</f>
        <v>2025-06</v>
      </c>
    </row>
    <row r="200" spans="1:14" x14ac:dyDescent="0.3">
      <c r="A200">
        <v>5095</v>
      </c>
      <c r="B200" s="1">
        <v>45692</v>
      </c>
      <c r="C200">
        <v>1013</v>
      </c>
      <c r="D200" t="s">
        <v>26</v>
      </c>
      <c r="E200" t="s">
        <v>29</v>
      </c>
      <c r="F200" t="s">
        <v>14</v>
      </c>
      <c r="G200" t="s">
        <v>52</v>
      </c>
      <c r="H200" t="s">
        <v>16</v>
      </c>
      <c r="I200">
        <v>3</v>
      </c>
      <c r="J200">
        <v>6000</v>
      </c>
      <c r="K200">
        <v>0</v>
      </c>
      <c r="L200" t="s">
        <v>34</v>
      </c>
      <c r="M200">
        <f>I200*J200*(1-K200/100)</f>
        <v>18000</v>
      </c>
      <c r="N200" t="str">
        <f>TEXT(B200,"yyyy-mm")</f>
        <v>2025-02</v>
      </c>
    </row>
    <row r="201" spans="1:14" x14ac:dyDescent="0.3">
      <c r="A201">
        <v>5410</v>
      </c>
      <c r="B201" s="1">
        <v>45815</v>
      </c>
      <c r="C201">
        <v>1013</v>
      </c>
      <c r="D201" t="s">
        <v>26</v>
      </c>
      <c r="E201" t="s">
        <v>29</v>
      </c>
      <c r="F201" t="s">
        <v>14</v>
      </c>
      <c r="G201" t="s">
        <v>19</v>
      </c>
      <c r="H201" t="s">
        <v>16</v>
      </c>
      <c r="I201">
        <v>3</v>
      </c>
      <c r="J201">
        <v>9500</v>
      </c>
      <c r="K201">
        <v>0</v>
      </c>
      <c r="L201" t="s">
        <v>17</v>
      </c>
      <c r="M201">
        <f>I201*J201*(1-K201/100)</f>
        <v>28500</v>
      </c>
      <c r="N201" t="str">
        <f>TEXT(B201,"yyyy-mm")</f>
        <v>2025-06</v>
      </c>
    </row>
    <row r="202" spans="1:14" x14ac:dyDescent="0.3">
      <c r="A202">
        <v>5440</v>
      </c>
      <c r="B202" s="1">
        <v>45826</v>
      </c>
      <c r="C202">
        <v>1013</v>
      </c>
      <c r="D202" t="s">
        <v>26</v>
      </c>
      <c r="E202" t="s">
        <v>29</v>
      </c>
      <c r="F202" t="s">
        <v>14</v>
      </c>
      <c r="G202" t="s">
        <v>15</v>
      </c>
      <c r="H202" t="s">
        <v>16</v>
      </c>
      <c r="I202">
        <v>3</v>
      </c>
      <c r="J202">
        <v>18000</v>
      </c>
      <c r="K202">
        <v>15</v>
      </c>
      <c r="L202" t="s">
        <v>34</v>
      </c>
      <c r="M202">
        <f>I202*J202*(1-K202/100)</f>
        <v>45900</v>
      </c>
      <c r="N202" t="str">
        <f>TEXT(B202,"yyyy-mm")</f>
        <v>2025-06</v>
      </c>
    </row>
    <row r="203" spans="1:14" x14ac:dyDescent="0.3">
      <c r="A203">
        <v>5816</v>
      </c>
      <c r="B203" s="1">
        <v>45960</v>
      </c>
      <c r="C203">
        <v>1013</v>
      </c>
      <c r="D203" t="s">
        <v>26</v>
      </c>
      <c r="E203" t="s">
        <v>87</v>
      </c>
      <c r="F203" t="s">
        <v>14</v>
      </c>
      <c r="G203" t="s">
        <v>24</v>
      </c>
      <c r="H203" t="s">
        <v>16</v>
      </c>
      <c r="I203">
        <v>2</v>
      </c>
      <c r="J203">
        <v>22000</v>
      </c>
      <c r="K203">
        <v>10</v>
      </c>
      <c r="L203" t="s">
        <v>25</v>
      </c>
      <c r="M203">
        <f>I203*J203*(1-K203/100)</f>
        <v>39600</v>
      </c>
      <c r="N203" t="str">
        <f>TEXT(B203,"yyyy-mm")</f>
        <v>2025-10</v>
      </c>
    </row>
    <row r="204" spans="1:14" x14ac:dyDescent="0.3">
      <c r="A204">
        <v>5977</v>
      </c>
      <c r="B204" s="1">
        <v>46013</v>
      </c>
      <c r="C204">
        <v>1013</v>
      </c>
      <c r="D204" t="s">
        <v>26</v>
      </c>
      <c r="E204" t="s">
        <v>29</v>
      </c>
      <c r="F204" t="s">
        <v>14</v>
      </c>
      <c r="G204" t="s">
        <v>52</v>
      </c>
      <c r="H204" t="s">
        <v>16</v>
      </c>
      <c r="I204">
        <v>2</v>
      </c>
      <c r="J204">
        <v>6000</v>
      </c>
      <c r="K204">
        <v>10</v>
      </c>
      <c r="L204" t="s">
        <v>17</v>
      </c>
      <c r="M204">
        <f>I204*J204*(1-K204/100)</f>
        <v>10800</v>
      </c>
      <c r="N204" t="str">
        <f>TEXT(B204,"yyyy-mm")</f>
        <v>2025-12</v>
      </c>
    </row>
    <row r="205" spans="1:14" x14ac:dyDescent="0.3">
      <c r="A205">
        <v>5174</v>
      </c>
      <c r="B205" s="1">
        <v>45715</v>
      </c>
      <c r="C205">
        <v>1013</v>
      </c>
      <c r="D205" t="s">
        <v>26</v>
      </c>
      <c r="E205" t="s">
        <v>29</v>
      </c>
      <c r="F205" t="s">
        <v>14</v>
      </c>
      <c r="G205" t="s">
        <v>40</v>
      </c>
      <c r="H205" t="s">
        <v>38</v>
      </c>
      <c r="I205">
        <v>1</v>
      </c>
      <c r="J205">
        <v>900</v>
      </c>
      <c r="K205">
        <v>15</v>
      </c>
      <c r="L205" t="s">
        <v>20</v>
      </c>
      <c r="M205">
        <f>I205*J205*(1-K205/100)</f>
        <v>765</v>
      </c>
      <c r="N205" t="str">
        <f>TEXT(B205,"yyyy-mm")</f>
        <v>2025-02</v>
      </c>
    </row>
    <row r="206" spans="1:14" x14ac:dyDescent="0.3">
      <c r="A206">
        <v>5496</v>
      </c>
      <c r="B206" s="1">
        <v>45846</v>
      </c>
      <c r="C206">
        <v>1013</v>
      </c>
      <c r="D206" t="s">
        <v>26</v>
      </c>
      <c r="E206" t="s">
        <v>29</v>
      </c>
      <c r="F206" t="s">
        <v>14</v>
      </c>
      <c r="G206" t="s">
        <v>57</v>
      </c>
      <c r="H206" t="s">
        <v>38</v>
      </c>
      <c r="I206">
        <v>1</v>
      </c>
      <c r="J206">
        <v>16000</v>
      </c>
      <c r="K206">
        <v>5</v>
      </c>
      <c r="L206" t="s">
        <v>34</v>
      </c>
      <c r="M206">
        <f>I206*J206*(1-K206/100)</f>
        <v>15200</v>
      </c>
      <c r="N206" t="str">
        <f>TEXT(B206,"yyyy-mm")</f>
        <v>2025-07</v>
      </c>
    </row>
    <row r="207" spans="1:14" x14ac:dyDescent="0.3">
      <c r="A207">
        <v>5179</v>
      </c>
      <c r="B207" s="1">
        <v>45718</v>
      </c>
      <c r="C207">
        <v>1014</v>
      </c>
      <c r="D207" t="s">
        <v>12</v>
      </c>
      <c r="E207" t="s">
        <v>22</v>
      </c>
      <c r="F207" t="s">
        <v>23</v>
      </c>
      <c r="G207" t="s">
        <v>55</v>
      </c>
      <c r="H207" t="s">
        <v>16</v>
      </c>
      <c r="I207">
        <v>5</v>
      </c>
      <c r="J207">
        <v>2500</v>
      </c>
      <c r="K207">
        <v>10</v>
      </c>
      <c r="L207" t="s">
        <v>17</v>
      </c>
      <c r="M207">
        <f>I207*J207*(1-K207/100)</f>
        <v>11250</v>
      </c>
      <c r="N207" t="str">
        <f>TEXT(B207,"yyyy-mm")</f>
        <v>2025-03</v>
      </c>
    </row>
    <row r="208" spans="1:14" x14ac:dyDescent="0.3">
      <c r="A208">
        <v>5203</v>
      </c>
      <c r="B208" s="1">
        <v>45728</v>
      </c>
      <c r="C208">
        <v>1014</v>
      </c>
      <c r="D208" t="s">
        <v>12</v>
      </c>
      <c r="E208" t="s">
        <v>22</v>
      </c>
      <c r="F208" t="s">
        <v>23</v>
      </c>
      <c r="G208" t="s">
        <v>55</v>
      </c>
      <c r="H208" t="s">
        <v>16</v>
      </c>
      <c r="I208">
        <v>5</v>
      </c>
      <c r="J208">
        <v>2500</v>
      </c>
      <c r="K208">
        <v>10</v>
      </c>
      <c r="L208" t="s">
        <v>17</v>
      </c>
      <c r="M208">
        <f>I208*J208*(1-K208/100)</f>
        <v>11250</v>
      </c>
      <c r="N208" t="str">
        <f>TEXT(B208,"yyyy-mm")</f>
        <v>2025-03</v>
      </c>
    </row>
    <row r="209" spans="1:14" x14ac:dyDescent="0.3">
      <c r="A209">
        <v>5539</v>
      </c>
      <c r="B209" s="1">
        <v>45859</v>
      </c>
      <c r="C209">
        <v>1014</v>
      </c>
      <c r="D209" t="s">
        <v>12</v>
      </c>
      <c r="E209" t="s">
        <v>22</v>
      </c>
      <c r="F209" t="s">
        <v>23</v>
      </c>
      <c r="G209" t="s">
        <v>30</v>
      </c>
      <c r="H209" t="s">
        <v>31</v>
      </c>
      <c r="I209">
        <v>5</v>
      </c>
      <c r="J209">
        <v>350</v>
      </c>
      <c r="K209">
        <v>0</v>
      </c>
      <c r="L209" t="s">
        <v>17</v>
      </c>
      <c r="M209">
        <f>I209*J209*(1-K209/100)</f>
        <v>1750</v>
      </c>
      <c r="N209" t="str">
        <f>TEXT(B209,"yyyy-mm")</f>
        <v>2025-07</v>
      </c>
    </row>
    <row r="210" spans="1:14" x14ac:dyDescent="0.3">
      <c r="A210">
        <v>5055</v>
      </c>
      <c r="B210" s="1">
        <v>45676</v>
      </c>
      <c r="C210">
        <v>1014</v>
      </c>
      <c r="D210" t="s">
        <v>12</v>
      </c>
      <c r="E210" t="s">
        <v>22</v>
      </c>
      <c r="F210" t="s">
        <v>23</v>
      </c>
      <c r="G210" t="s">
        <v>36</v>
      </c>
      <c r="H210" t="s">
        <v>16</v>
      </c>
      <c r="I210">
        <v>3</v>
      </c>
      <c r="J210">
        <v>55000</v>
      </c>
      <c r="K210">
        <v>5</v>
      </c>
      <c r="L210" t="s">
        <v>25</v>
      </c>
      <c r="M210">
        <f>I210*J210*(1-K210/100)</f>
        <v>156750</v>
      </c>
      <c r="N210" t="str">
        <f>TEXT(B210,"yyyy-mm")</f>
        <v>2025-01</v>
      </c>
    </row>
    <row r="211" spans="1:14" x14ac:dyDescent="0.3">
      <c r="A211">
        <v>5212</v>
      </c>
      <c r="B211" s="1">
        <v>45731</v>
      </c>
      <c r="C211">
        <v>1014</v>
      </c>
      <c r="D211" t="s">
        <v>12</v>
      </c>
      <c r="E211" t="s">
        <v>22</v>
      </c>
      <c r="F211" t="s">
        <v>23</v>
      </c>
      <c r="G211" t="s">
        <v>52</v>
      </c>
      <c r="H211" t="s">
        <v>16</v>
      </c>
      <c r="I211">
        <v>3</v>
      </c>
      <c r="J211">
        <v>6000</v>
      </c>
      <c r="K211">
        <v>0</v>
      </c>
      <c r="L211" t="s">
        <v>20</v>
      </c>
      <c r="M211">
        <f>I211*J211*(1-K211/100)</f>
        <v>18000</v>
      </c>
      <c r="N211" t="str">
        <f>TEXT(B211,"yyyy-mm")</f>
        <v>2025-03</v>
      </c>
    </row>
    <row r="212" spans="1:14" x14ac:dyDescent="0.3">
      <c r="A212">
        <v>5245</v>
      </c>
      <c r="B212" s="1">
        <v>45747</v>
      </c>
      <c r="C212">
        <v>1014</v>
      </c>
      <c r="D212" t="s">
        <v>12</v>
      </c>
      <c r="E212" t="s">
        <v>22</v>
      </c>
      <c r="F212" t="s">
        <v>23</v>
      </c>
      <c r="G212" t="s">
        <v>40</v>
      </c>
      <c r="H212" t="s">
        <v>38</v>
      </c>
      <c r="I212">
        <v>3</v>
      </c>
      <c r="J212">
        <v>900</v>
      </c>
      <c r="K212">
        <v>15</v>
      </c>
      <c r="L212" t="s">
        <v>34</v>
      </c>
      <c r="M212">
        <f>I212*J212*(1-K212/100)</f>
        <v>2295</v>
      </c>
      <c r="N212" t="str">
        <f>TEXT(B212,"yyyy-mm")</f>
        <v>2025-03</v>
      </c>
    </row>
    <row r="213" spans="1:14" x14ac:dyDescent="0.3">
      <c r="A213">
        <v>5577</v>
      </c>
      <c r="B213" s="1">
        <v>45875</v>
      </c>
      <c r="C213">
        <v>1014</v>
      </c>
      <c r="D213" t="s">
        <v>12</v>
      </c>
      <c r="E213" t="s">
        <v>22</v>
      </c>
      <c r="F213" t="s">
        <v>23</v>
      </c>
      <c r="G213" t="s">
        <v>52</v>
      </c>
      <c r="H213" t="s">
        <v>16</v>
      </c>
      <c r="I213">
        <v>3</v>
      </c>
      <c r="J213">
        <v>6000</v>
      </c>
      <c r="K213">
        <v>5</v>
      </c>
      <c r="L213" t="s">
        <v>34</v>
      </c>
      <c r="M213">
        <f>I213*J213*(1-K213/100)</f>
        <v>17100</v>
      </c>
      <c r="N213" t="str">
        <f>TEXT(B213,"yyyy-mm")</f>
        <v>2025-08</v>
      </c>
    </row>
    <row r="214" spans="1:14" x14ac:dyDescent="0.3">
      <c r="A214">
        <v>5875</v>
      </c>
      <c r="B214" s="1">
        <v>45980</v>
      </c>
      <c r="C214">
        <v>1014</v>
      </c>
      <c r="D214" t="s">
        <v>12</v>
      </c>
      <c r="E214" t="s">
        <v>22</v>
      </c>
      <c r="F214" t="s">
        <v>23</v>
      </c>
      <c r="G214" t="s">
        <v>37</v>
      </c>
      <c r="H214" t="s">
        <v>38</v>
      </c>
      <c r="I214">
        <v>2</v>
      </c>
      <c r="J214">
        <v>7500</v>
      </c>
      <c r="K214">
        <v>0</v>
      </c>
      <c r="L214" t="s">
        <v>43</v>
      </c>
      <c r="M214">
        <f>I214*J214*(1-K214/100)</f>
        <v>15000</v>
      </c>
      <c r="N214" t="str">
        <f>TEXT(B214,"yyyy-mm")</f>
        <v>2025-11</v>
      </c>
    </row>
    <row r="215" spans="1:14" x14ac:dyDescent="0.3">
      <c r="A215">
        <v>5941</v>
      </c>
      <c r="B215" s="1">
        <v>46004</v>
      </c>
      <c r="C215">
        <v>1014</v>
      </c>
      <c r="D215" t="s">
        <v>12</v>
      </c>
      <c r="E215" t="s">
        <v>22</v>
      </c>
      <c r="F215" t="s">
        <v>23</v>
      </c>
      <c r="G215" t="s">
        <v>52</v>
      </c>
      <c r="H215" t="s">
        <v>16</v>
      </c>
      <c r="I215">
        <v>2</v>
      </c>
      <c r="J215">
        <v>6000</v>
      </c>
      <c r="K215">
        <v>10</v>
      </c>
      <c r="L215" t="s">
        <v>17</v>
      </c>
      <c r="M215">
        <f>I215*J215*(1-K215/100)</f>
        <v>10800</v>
      </c>
      <c r="N215" t="str">
        <f>TEXT(B215,"yyyy-mm")</f>
        <v>2025-12</v>
      </c>
    </row>
    <row r="216" spans="1:14" x14ac:dyDescent="0.3">
      <c r="A216">
        <v>5356</v>
      </c>
      <c r="B216" s="1">
        <v>45793</v>
      </c>
      <c r="C216">
        <v>1014</v>
      </c>
      <c r="D216" t="s">
        <v>12</v>
      </c>
      <c r="E216" t="s">
        <v>22</v>
      </c>
      <c r="F216" t="s">
        <v>23</v>
      </c>
      <c r="G216" t="s">
        <v>30</v>
      </c>
      <c r="H216" t="s">
        <v>31</v>
      </c>
      <c r="I216">
        <v>1</v>
      </c>
      <c r="J216">
        <v>350</v>
      </c>
      <c r="K216">
        <v>10</v>
      </c>
      <c r="L216" t="s">
        <v>20</v>
      </c>
      <c r="M216">
        <f>I216*J216*(1-K216/100)</f>
        <v>315</v>
      </c>
      <c r="N216" t="str">
        <f>TEXT(B216,"yyyy-mm")</f>
        <v>2025-05</v>
      </c>
    </row>
    <row r="217" spans="1:14" x14ac:dyDescent="0.3">
      <c r="A217">
        <v>5894</v>
      </c>
      <c r="B217" s="1">
        <v>45989</v>
      </c>
      <c r="C217">
        <v>1014</v>
      </c>
      <c r="D217" t="s">
        <v>12</v>
      </c>
      <c r="E217" t="s">
        <v>22</v>
      </c>
      <c r="F217" t="s">
        <v>23</v>
      </c>
      <c r="G217" t="s">
        <v>65</v>
      </c>
      <c r="H217" t="s">
        <v>16</v>
      </c>
      <c r="I217">
        <v>1</v>
      </c>
      <c r="J217">
        <v>12000</v>
      </c>
      <c r="K217">
        <v>0</v>
      </c>
      <c r="L217" t="s">
        <v>34</v>
      </c>
      <c r="M217">
        <f>I217*J217*(1-K217/100)</f>
        <v>12000</v>
      </c>
      <c r="N217" t="str">
        <f>TEXT(B217,"yyyy-mm")</f>
        <v>2025-11</v>
      </c>
    </row>
    <row r="218" spans="1:14" x14ac:dyDescent="0.3">
      <c r="A218">
        <v>5999</v>
      </c>
      <c r="B218" s="1">
        <v>46022</v>
      </c>
      <c r="C218">
        <v>1014</v>
      </c>
      <c r="D218" t="s">
        <v>12</v>
      </c>
      <c r="E218" t="s">
        <v>22</v>
      </c>
      <c r="F218" t="s">
        <v>23</v>
      </c>
      <c r="G218" t="s">
        <v>40</v>
      </c>
      <c r="H218" t="s">
        <v>38</v>
      </c>
      <c r="I218">
        <v>1</v>
      </c>
      <c r="J218">
        <v>900</v>
      </c>
      <c r="K218">
        <v>0</v>
      </c>
      <c r="L218" t="s">
        <v>43</v>
      </c>
      <c r="M218">
        <f>I218*J218*(1-K218/100)</f>
        <v>900</v>
      </c>
      <c r="N218" t="str">
        <f>TEXT(B218,"yyyy-mm")</f>
        <v>2025-12</v>
      </c>
    </row>
    <row r="219" spans="1:14" x14ac:dyDescent="0.3">
      <c r="A219">
        <v>5215</v>
      </c>
      <c r="B219" s="1">
        <v>45731</v>
      </c>
      <c r="C219">
        <v>1015</v>
      </c>
      <c r="D219" t="s">
        <v>35</v>
      </c>
      <c r="E219" t="s">
        <v>13</v>
      </c>
      <c r="F219" t="s">
        <v>27</v>
      </c>
      <c r="G219" t="s">
        <v>57</v>
      </c>
      <c r="H219" t="s">
        <v>38</v>
      </c>
      <c r="I219">
        <v>5</v>
      </c>
      <c r="J219">
        <v>16000</v>
      </c>
      <c r="K219">
        <v>0</v>
      </c>
      <c r="L219" t="s">
        <v>20</v>
      </c>
      <c r="M219">
        <f>I219*J219*(1-K219/100)</f>
        <v>80000</v>
      </c>
      <c r="N219" t="str">
        <f>TEXT(B219,"yyyy-mm")</f>
        <v>2025-03</v>
      </c>
    </row>
    <row r="220" spans="1:14" x14ac:dyDescent="0.3">
      <c r="A220">
        <v>5309</v>
      </c>
      <c r="B220" s="1">
        <v>45772</v>
      </c>
      <c r="C220">
        <v>1015</v>
      </c>
      <c r="D220" t="s">
        <v>35</v>
      </c>
      <c r="E220" t="s">
        <v>13</v>
      </c>
      <c r="F220" t="s">
        <v>27</v>
      </c>
      <c r="G220" t="s">
        <v>65</v>
      </c>
      <c r="H220" t="s">
        <v>16</v>
      </c>
      <c r="I220">
        <v>5</v>
      </c>
      <c r="J220">
        <v>12000</v>
      </c>
      <c r="K220">
        <v>0</v>
      </c>
      <c r="L220" t="s">
        <v>20</v>
      </c>
      <c r="M220">
        <f>I220*J220*(1-K220/100)</f>
        <v>60000</v>
      </c>
      <c r="N220" t="str">
        <f>TEXT(B220,"yyyy-mm")</f>
        <v>2025-04</v>
      </c>
    </row>
    <row r="221" spans="1:14" x14ac:dyDescent="0.3">
      <c r="A221">
        <v>5517</v>
      </c>
      <c r="B221" s="1">
        <v>45851</v>
      </c>
      <c r="C221">
        <v>1015</v>
      </c>
      <c r="D221" t="s">
        <v>35</v>
      </c>
      <c r="E221" t="s">
        <v>13</v>
      </c>
      <c r="F221" t="s">
        <v>27</v>
      </c>
      <c r="G221" t="s">
        <v>19</v>
      </c>
      <c r="H221" t="s">
        <v>16</v>
      </c>
      <c r="I221">
        <v>5</v>
      </c>
      <c r="J221">
        <v>9500</v>
      </c>
      <c r="K221">
        <v>0</v>
      </c>
      <c r="L221" t="s">
        <v>34</v>
      </c>
      <c r="M221">
        <f>I221*J221*(1-K221/100)</f>
        <v>47500</v>
      </c>
      <c r="N221" t="str">
        <f>TEXT(B221,"yyyy-mm")</f>
        <v>2025-07</v>
      </c>
    </row>
    <row r="222" spans="1:14" x14ac:dyDescent="0.3">
      <c r="A222">
        <v>5008</v>
      </c>
      <c r="B222" s="1">
        <v>45660</v>
      </c>
      <c r="C222">
        <v>1015</v>
      </c>
      <c r="D222" t="s">
        <v>35</v>
      </c>
      <c r="E222" t="s">
        <v>13</v>
      </c>
      <c r="F222" t="s">
        <v>27</v>
      </c>
      <c r="G222" t="s">
        <v>36</v>
      </c>
      <c r="H222" t="s">
        <v>16</v>
      </c>
      <c r="I222">
        <v>4</v>
      </c>
      <c r="J222">
        <v>55000</v>
      </c>
      <c r="K222">
        <v>5</v>
      </c>
      <c r="L222" t="s">
        <v>20</v>
      </c>
      <c r="M222">
        <f>I222*J222*(1-K222/100)</f>
        <v>209000</v>
      </c>
      <c r="N222" t="str">
        <f>TEXT(B222,"yyyy-mm")</f>
        <v>2025-01</v>
      </c>
    </row>
    <row r="223" spans="1:14" x14ac:dyDescent="0.3">
      <c r="A223">
        <v>5086</v>
      </c>
      <c r="B223" s="1">
        <v>45690</v>
      </c>
      <c r="C223">
        <v>1015</v>
      </c>
      <c r="D223" t="s">
        <v>35</v>
      </c>
      <c r="E223" t="s">
        <v>13</v>
      </c>
      <c r="F223" t="s">
        <v>27</v>
      </c>
      <c r="G223" t="s">
        <v>24</v>
      </c>
      <c r="H223" t="s">
        <v>16</v>
      </c>
      <c r="I223">
        <v>4</v>
      </c>
      <c r="J223">
        <v>22000</v>
      </c>
      <c r="K223">
        <v>0</v>
      </c>
      <c r="L223" t="s">
        <v>43</v>
      </c>
      <c r="M223">
        <f>I223*J223*(1-K223/100)</f>
        <v>88000</v>
      </c>
      <c r="N223" t="str">
        <f>TEXT(B223,"yyyy-mm")</f>
        <v>2025-02</v>
      </c>
    </row>
    <row r="224" spans="1:14" x14ac:dyDescent="0.3">
      <c r="A224">
        <v>5154</v>
      </c>
      <c r="B224" s="1">
        <v>45709</v>
      </c>
      <c r="C224">
        <v>1015</v>
      </c>
      <c r="D224" t="s">
        <v>35</v>
      </c>
      <c r="E224" t="s">
        <v>13</v>
      </c>
      <c r="F224" t="s">
        <v>27</v>
      </c>
      <c r="G224" t="s">
        <v>55</v>
      </c>
      <c r="H224" t="s">
        <v>16</v>
      </c>
      <c r="I224">
        <v>4</v>
      </c>
      <c r="J224">
        <v>2500</v>
      </c>
      <c r="K224">
        <v>5</v>
      </c>
      <c r="L224" t="s">
        <v>25</v>
      </c>
      <c r="M224">
        <f>I224*J224*(1-K224/100)</f>
        <v>9500</v>
      </c>
      <c r="N224" t="str">
        <f>TEXT(B224,"yyyy-mm")</f>
        <v>2025-02</v>
      </c>
    </row>
    <row r="225" spans="1:14" x14ac:dyDescent="0.3">
      <c r="A225">
        <v>5242</v>
      </c>
      <c r="B225" s="1">
        <v>45746</v>
      </c>
      <c r="C225">
        <v>1015</v>
      </c>
      <c r="D225" t="s">
        <v>35</v>
      </c>
      <c r="E225" t="s">
        <v>13</v>
      </c>
      <c r="F225" t="s">
        <v>27</v>
      </c>
      <c r="G225" t="s">
        <v>40</v>
      </c>
      <c r="H225" t="s">
        <v>38</v>
      </c>
      <c r="I225">
        <v>4</v>
      </c>
      <c r="J225">
        <v>900</v>
      </c>
      <c r="K225">
        <v>15</v>
      </c>
      <c r="L225" t="s">
        <v>25</v>
      </c>
      <c r="M225">
        <f>I225*J225*(1-K225/100)</f>
        <v>3060</v>
      </c>
      <c r="N225" t="str">
        <f>TEXT(B225,"yyyy-mm")</f>
        <v>2025-03</v>
      </c>
    </row>
    <row r="226" spans="1:14" x14ac:dyDescent="0.3">
      <c r="A226">
        <v>5409</v>
      </c>
      <c r="B226" s="1">
        <v>45815</v>
      </c>
      <c r="C226">
        <v>1015</v>
      </c>
      <c r="D226" t="s">
        <v>35</v>
      </c>
      <c r="E226" t="s">
        <v>87</v>
      </c>
      <c r="F226" t="s">
        <v>27</v>
      </c>
      <c r="G226" t="s">
        <v>42</v>
      </c>
      <c r="H226" t="s">
        <v>31</v>
      </c>
      <c r="I226">
        <v>4</v>
      </c>
      <c r="J226">
        <v>200</v>
      </c>
      <c r="K226">
        <v>0</v>
      </c>
      <c r="L226" t="s">
        <v>34</v>
      </c>
      <c r="M226">
        <f>I226*J226*(1-K226/100)</f>
        <v>800</v>
      </c>
      <c r="N226" t="str">
        <f>TEXT(B226,"yyyy-mm")</f>
        <v>2025-06</v>
      </c>
    </row>
    <row r="227" spans="1:14" x14ac:dyDescent="0.3">
      <c r="A227">
        <v>5604</v>
      </c>
      <c r="B227" s="1">
        <v>45884</v>
      </c>
      <c r="C227">
        <v>1015</v>
      </c>
      <c r="D227" t="s">
        <v>35</v>
      </c>
      <c r="E227" t="s">
        <v>13</v>
      </c>
      <c r="F227" t="s">
        <v>27</v>
      </c>
      <c r="G227" t="s">
        <v>40</v>
      </c>
      <c r="H227" t="s">
        <v>38</v>
      </c>
      <c r="I227">
        <v>4</v>
      </c>
      <c r="J227">
        <v>900</v>
      </c>
      <c r="K227">
        <v>0</v>
      </c>
      <c r="L227" t="s">
        <v>25</v>
      </c>
      <c r="M227">
        <f>I227*J227*(1-K227/100)</f>
        <v>3600</v>
      </c>
      <c r="N227" t="str">
        <f>TEXT(B227,"yyyy-mm")</f>
        <v>2025-08</v>
      </c>
    </row>
    <row r="228" spans="1:14" x14ac:dyDescent="0.3">
      <c r="A228">
        <v>5606</v>
      </c>
      <c r="B228" s="1">
        <v>45885</v>
      </c>
      <c r="C228">
        <v>1015</v>
      </c>
      <c r="D228" t="s">
        <v>35</v>
      </c>
      <c r="E228" t="s">
        <v>13</v>
      </c>
      <c r="F228" t="s">
        <v>27</v>
      </c>
      <c r="G228" t="s">
        <v>30</v>
      </c>
      <c r="H228" t="s">
        <v>31</v>
      </c>
      <c r="I228">
        <v>4</v>
      </c>
      <c r="J228">
        <v>350</v>
      </c>
      <c r="K228">
        <v>10</v>
      </c>
      <c r="L228" t="s">
        <v>25</v>
      </c>
      <c r="M228">
        <f>I228*J228*(1-K228/100)</f>
        <v>1260</v>
      </c>
      <c r="N228" t="str">
        <f>TEXT(B228,"yyyy-mm")</f>
        <v>2025-08</v>
      </c>
    </row>
    <row r="229" spans="1:14" x14ac:dyDescent="0.3">
      <c r="A229">
        <v>5882</v>
      </c>
      <c r="B229" s="1">
        <v>45984</v>
      </c>
      <c r="C229">
        <v>1015</v>
      </c>
      <c r="D229" t="s">
        <v>35</v>
      </c>
      <c r="E229" t="s">
        <v>13</v>
      </c>
      <c r="F229" t="s">
        <v>27</v>
      </c>
      <c r="G229" t="s">
        <v>30</v>
      </c>
      <c r="H229" t="s">
        <v>31</v>
      </c>
      <c r="I229">
        <v>4</v>
      </c>
      <c r="J229">
        <v>350</v>
      </c>
      <c r="K229">
        <v>0</v>
      </c>
      <c r="L229" t="s">
        <v>43</v>
      </c>
      <c r="M229">
        <f>I229*J229*(1-K229/100)</f>
        <v>1400</v>
      </c>
      <c r="N229" t="str">
        <f>TEXT(B229,"yyyy-mm")</f>
        <v>2025-11</v>
      </c>
    </row>
    <row r="230" spans="1:14" x14ac:dyDescent="0.3">
      <c r="A230">
        <v>5953</v>
      </c>
      <c r="B230" s="1">
        <v>46008</v>
      </c>
      <c r="C230">
        <v>1015</v>
      </c>
      <c r="D230" t="s">
        <v>35</v>
      </c>
      <c r="E230" t="s">
        <v>87</v>
      </c>
      <c r="F230" t="s">
        <v>27</v>
      </c>
      <c r="G230" t="s">
        <v>40</v>
      </c>
      <c r="H230" t="s">
        <v>38</v>
      </c>
      <c r="I230">
        <v>4</v>
      </c>
      <c r="J230">
        <v>900</v>
      </c>
      <c r="K230">
        <v>0</v>
      </c>
      <c r="L230" t="s">
        <v>43</v>
      </c>
      <c r="M230">
        <f>I230*J230*(1-K230/100)</f>
        <v>3600</v>
      </c>
      <c r="N230" t="str">
        <f>TEXT(B230,"yyyy-mm")</f>
        <v>2025-12</v>
      </c>
    </row>
    <row r="231" spans="1:14" x14ac:dyDescent="0.3">
      <c r="A231">
        <v>5592</v>
      </c>
      <c r="B231" s="1">
        <v>45881</v>
      </c>
      <c r="C231">
        <v>1015</v>
      </c>
      <c r="D231" t="s">
        <v>35</v>
      </c>
      <c r="E231" t="s">
        <v>13</v>
      </c>
      <c r="F231" t="s">
        <v>27</v>
      </c>
      <c r="G231" t="s">
        <v>55</v>
      </c>
      <c r="H231" t="s">
        <v>16</v>
      </c>
      <c r="I231">
        <v>3</v>
      </c>
      <c r="J231">
        <v>2500</v>
      </c>
      <c r="K231">
        <v>5</v>
      </c>
      <c r="L231" t="s">
        <v>25</v>
      </c>
      <c r="M231">
        <f>I231*J231*(1-K231/100)</f>
        <v>7125</v>
      </c>
      <c r="N231" t="str">
        <f>TEXT(B231,"yyyy-mm")</f>
        <v>2025-08</v>
      </c>
    </row>
    <row r="232" spans="1:14" x14ac:dyDescent="0.3">
      <c r="A232">
        <v>5909</v>
      </c>
      <c r="B232" s="1">
        <v>45994</v>
      </c>
      <c r="C232">
        <v>1015</v>
      </c>
      <c r="D232" t="s">
        <v>35</v>
      </c>
      <c r="E232" t="s">
        <v>13</v>
      </c>
      <c r="F232" t="s">
        <v>27</v>
      </c>
      <c r="G232" t="s">
        <v>15</v>
      </c>
      <c r="H232" t="s">
        <v>16</v>
      </c>
      <c r="I232">
        <v>3</v>
      </c>
      <c r="J232">
        <v>18000</v>
      </c>
      <c r="K232">
        <v>5</v>
      </c>
      <c r="L232" t="s">
        <v>20</v>
      </c>
      <c r="M232">
        <f>I232*J232*(1-K232/100)</f>
        <v>51300</v>
      </c>
      <c r="N232" t="str">
        <f>TEXT(B232,"yyyy-mm")</f>
        <v>2025-12</v>
      </c>
    </row>
    <row r="233" spans="1:14" x14ac:dyDescent="0.3">
      <c r="A233">
        <v>5937</v>
      </c>
      <c r="B233" s="1">
        <v>46003</v>
      </c>
      <c r="C233">
        <v>1015</v>
      </c>
      <c r="D233" t="s">
        <v>35</v>
      </c>
      <c r="E233" t="s">
        <v>13</v>
      </c>
      <c r="F233" t="s">
        <v>27</v>
      </c>
      <c r="G233" t="s">
        <v>52</v>
      </c>
      <c r="H233" t="s">
        <v>16</v>
      </c>
      <c r="I233">
        <v>3</v>
      </c>
      <c r="J233">
        <v>6000</v>
      </c>
      <c r="K233">
        <v>0</v>
      </c>
      <c r="L233" t="s">
        <v>25</v>
      </c>
      <c r="M233">
        <f>I233*J233*(1-K233/100)</f>
        <v>18000</v>
      </c>
      <c r="N233" t="str">
        <f>TEXT(B233,"yyyy-mm")</f>
        <v>2025-12</v>
      </c>
    </row>
    <row r="234" spans="1:14" x14ac:dyDescent="0.3">
      <c r="A234">
        <v>5206</v>
      </c>
      <c r="B234" s="1">
        <v>45729</v>
      </c>
      <c r="C234">
        <v>1015</v>
      </c>
      <c r="D234" t="s">
        <v>35</v>
      </c>
      <c r="E234" t="s">
        <v>13</v>
      </c>
      <c r="F234" t="s">
        <v>27</v>
      </c>
      <c r="G234" t="s">
        <v>36</v>
      </c>
      <c r="H234" t="s">
        <v>16</v>
      </c>
      <c r="I234">
        <v>2</v>
      </c>
      <c r="J234">
        <v>55000</v>
      </c>
      <c r="K234">
        <v>15</v>
      </c>
      <c r="L234" t="s">
        <v>34</v>
      </c>
      <c r="M234">
        <f>I234*J234*(1-K234/100)</f>
        <v>93500</v>
      </c>
      <c r="N234" t="str">
        <f>TEXT(B234,"yyyy-mm")</f>
        <v>2025-03</v>
      </c>
    </row>
    <row r="235" spans="1:14" x14ac:dyDescent="0.3">
      <c r="A235">
        <v>5486</v>
      </c>
      <c r="B235" s="1">
        <v>45843</v>
      </c>
      <c r="C235">
        <v>1015</v>
      </c>
      <c r="D235" t="s">
        <v>35</v>
      </c>
      <c r="E235" t="s">
        <v>13</v>
      </c>
      <c r="F235" t="s">
        <v>27</v>
      </c>
      <c r="G235" t="s">
        <v>37</v>
      </c>
      <c r="H235" t="s">
        <v>38</v>
      </c>
      <c r="I235">
        <v>2</v>
      </c>
      <c r="J235">
        <v>7500</v>
      </c>
      <c r="K235">
        <v>10</v>
      </c>
      <c r="L235" t="s">
        <v>34</v>
      </c>
      <c r="M235">
        <f>I235*J235*(1-K235/100)</f>
        <v>13500</v>
      </c>
      <c r="N235" t="str">
        <f>TEXT(B235,"yyyy-mm")</f>
        <v>2025-07</v>
      </c>
    </row>
    <row r="236" spans="1:14" x14ac:dyDescent="0.3">
      <c r="A236">
        <v>5511</v>
      </c>
      <c r="B236" s="1">
        <v>45849</v>
      </c>
      <c r="C236">
        <v>1015</v>
      </c>
      <c r="D236" t="s">
        <v>35</v>
      </c>
      <c r="E236" t="s">
        <v>13</v>
      </c>
      <c r="F236" t="s">
        <v>27</v>
      </c>
      <c r="G236" t="s">
        <v>15</v>
      </c>
      <c r="H236" t="s">
        <v>16</v>
      </c>
      <c r="I236">
        <v>2</v>
      </c>
      <c r="J236">
        <v>18000</v>
      </c>
      <c r="K236">
        <v>15</v>
      </c>
      <c r="L236" t="s">
        <v>34</v>
      </c>
      <c r="M236">
        <f>I236*J236*(1-K236/100)</f>
        <v>30600</v>
      </c>
      <c r="N236" t="str">
        <f>TEXT(B236,"yyyy-mm")</f>
        <v>2025-07</v>
      </c>
    </row>
    <row r="237" spans="1:14" x14ac:dyDescent="0.3">
      <c r="A237">
        <v>5800</v>
      </c>
      <c r="B237" s="1">
        <v>45954</v>
      </c>
      <c r="C237">
        <v>1015</v>
      </c>
      <c r="D237" t="s">
        <v>35</v>
      </c>
      <c r="E237" t="s">
        <v>13</v>
      </c>
      <c r="F237" t="s">
        <v>27</v>
      </c>
      <c r="G237" t="s">
        <v>65</v>
      </c>
      <c r="H237" t="s">
        <v>16</v>
      </c>
      <c r="I237">
        <v>2</v>
      </c>
      <c r="J237">
        <v>12000</v>
      </c>
      <c r="K237">
        <v>10</v>
      </c>
      <c r="L237" t="s">
        <v>17</v>
      </c>
      <c r="M237">
        <f>I237*J237*(1-K237/100)</f>
        <v>21600</v>
      </c>
      <c r="N237" t="str">
        <f>TEXT(B237,"yyyy-mm")</f>
        <v>2025-10</v>
      </c>
    </row>
    <row r="238" spans="1:14" x14ac:dyDescent="0.3">
      <c r="A238">
        <v>5993</v>
      </c>
      <c r="B238" s="1">
        <v>46021</v>
      </c>
      <c r="C238">
        <v>1015</v>
      </c>
      <c r="D238" t="s">
        <v>35</v>
      </c>
      <c r="E238" t="s">
        <v>13</v>
      </c>
      <c r="F238" t="s">
        <v>27</v>
      </c>
      <c r="G238" t="s">
        <v>40</v>
      </c>
      <c r="H238" t="s">
        <v>38</v>
      </c>
      <c r="I238">
        <v>2</v>
      </c>
      <c r="J238">
        <v>900</v>
      </c>
      <c r="K238">
        <v>10</v>
      </c>
      <c r="L238" t="s">
        <v>43</v>
      </c>
      <c r="M238">
        <f>I238*J238*(1-K238/100)</f>
        <v>1620</v>
      </c>
      <c r="N238" t="str">
        <f>TEXT(B238,"yyyy-mm")</f>
        <v>2025-12</v>
      </c>
    </row>
    <row r="239" spans="1:14" x14ac:dyDescent="0.3">
      <c r="A239">
        <v>5102</v>
      </c>
      <c r="B239" s="1">
        <v>45696</v>
      </c>
      <c r="C239">
        <v>1015</v>
      </c>
      <c r="D239" t="s">
        <v>35</v>
      </c>
      <c r="E239" t="s">
        <v>13</v>
      </c>
      <c r="F239" t="s">
        <v>27</v>
      </c>
      <c r="G239" t="s">
        <v>24</v>
      </c>
      <c r="H239" t="s">
        <v>16</v>
      </c>
      <c r="I239">
        <v>1</v>
      </c>
      <c r="J239">
        <v>22000</v>
      </c>
      <c r="K239">
        <v>5</v>
      </c>
      <c r="L239" t="s">
        <v>25</v>
      </c>
      <c r="M239">
        <f>I239*J239*(1-K239/100)</f>
        <v>20900</v>
      </c>
      <c r="N239" t="str">
        <f>TEXT(B239,"yyyy-mm")</f>
        <v>2025-02</v>
      </c>
    </row>
    <row r="240" spans="1:14" x14ac:dyDescent="0.3">
      <c r="A240">
        <v>5263</v>
      </c>
      <c r="B240" s="1">
        <v>45755</v>
      </c>
      <c r="C240">
        <v>1015</v>
      </c>
      <c r="D240" t="s">
        <v>35</v>
      </c>
      <c r="E240" t="s">
        <v>13</v>
      </c>
      <c r="F240" t="s">
        <v>27</v>
      </c>
      <c r="G240" t="s">
        <v>19</v>
      </c>
      <c r="H240" t="s">
        <v>16</v>
      </c>
      <c r="I240">
        <v>1</v>
      </c>
      <c r="J240">
        <v>9500</v>
      </c>
      <c r="K240">
        <v>0</v>
      </c>
      <c r="L240" t="s">
        <v>34</v>
      </c>
      <c r="M240">
        <f>I240*J240*(1-K240/100)</f>
        <v>9500</v>
      </c>
      <c r="N240" t="str">
        <f>TEXT(B240,"yyyy-mm")</f>
        <v>2025-04</v>
      </c>
    </row>
    <row r="241" spans="1:14" x14ac:dyDescent="0.3">
      <c r="A241">
        <v>5862</v>
      </c>
      <c r="B241" s="1">
        <v>45974</v>
      </c>
      <c r="C241">
        <v>1015</v>
      </c>
      <c r="D241" t="s">
        <v>35</v>
      </c>
      <c r="E241" t="s">
        <v>13</v>
      </c>
      <c r="F241" t="s">
        <v>27</v>
      </c>
      <c r="G241" t="s">
        <v>55</v>
      </c>
      <c r="H241" t="s">
        <v>16</v>
      </c>
      <c r="I241">
        <v>1</v>
      </c>
      <c r="J241">
        <v>2500</v>
      </c>
      <c r="K241">
        <v>5</v>
      </c>
      <c r="L241" t="s">
        <v>20</v>
      </c>
      <c r="M241">
        <f>I241*J241*(1-K241/100)</f>
        <v>2375</v>
      </c>
      <c r="N241" t="str">
        <f>TEXT(B241,"yyyy-mm")</f>
        <v>2025-11</v>
      </c>
    </row>
    <row r="242" spans="1:14" x14ac:dyDescent="0.3">
      <c r="A242">
        <v>5401</v>
      </c>
      <c r="B242" s="1">
        <v>45811</v>
      </c>
      <c r="C242">
        <v>1016</v>
      </c>
      <c r="D242" t="s">
        <v>28</v>
      </c>
      <c r="E242" t="s">
        <v>33</v>
      </c>
      <c r="F242" t="s">
        <v>27</v>
      </c>
      <c r="G242" t="s">
        <v>15</v>
      </c>
      <c r="H242" t="s">
        <v>16</v>
      </c>
      <c r="I242">
        <v>5</v>
      </c>
      <c r="J242">
        <v>18000</v>
      </c>
      <c r="K242">
        <v>10</v>
      </c>
      <c r="L242" t="s">
        <v>34</v>
      </c>
      <c r="M242">
        <f>I242*J242*(1-K242/100)</f>
        <v>81000</v>
      </c>
      <c r="N242" t="str">
        <f>TEXT(B242,"yyyy-mm")</f>
        <v>2025-06</v>
      </c>
    </row>
    <row r="243" spans="1:14" x14ac:dyDescent="0.3">
      <c r="A243">
        <v>5582</v>
      </c>
      <c r="B243" s="1">
        <v>45876</v>
      </c>
      <c r="C243">
        <v>1016</v>
      </c>
      <c r="D243" t="s">
        <v>28</v>
      </c>
      <c r="E243" t="s">
        <v>33</v>
      </c>
      <c r="F243" t="s">
        <v>27</v>
      </c>
      <c r="G243" t="s">
        <v>24</v>
      </c>
      <c r="H243" t="s">
        <v>16</v>
      </c>
      <c r="I243">
        <v>5</v>
      </c>
      <c r="J243">
        <v>22000</v>
      </c>
      <c r="K243">
        <v>0</v>
      </c>
      <c r="L243" t="s">
        <v>43</v>
      </c>
      <c r="M243">
        <f>I243*J243*(1-K243/100)</f>
        <v>110000</v>
      </c>
      <c r="N243" t="str">
        <f>TEXT(B243,"yyyy-mm")</f>
        <v>2025-08</v>
      </c>
    </row>
    <row r="244" spans="1:14" x14ac:dyDescent="0.3">
      <c r="A244">
        <v>5779</v>
      </c>
      <c r="B244" s="1">
        <v>45948</v>
      </c>
      <c r="C244">
        <v>1016</v>
      </c>
      <c r="D244" t="s">
        <v>28</v>
      </c>
      <c r="E244" t="s">
        <v>33</v>
      </c>
      <c r="F244" t="s">
        <v>27</v>
      </c>
      <c r="G244" t="s">
        <v>36</v>
      </c>
      <c r="H244" t="s">
        <v>16</v>
      </c>
      <c r="I244">
        <v>5</v>
      </c>
      <c r="J244">
        <v>55000</v>
      </c>
      <c r="K244">
        <v>15</v>
      </c>
      <c r="L244" t="s">
        <v>43</v>
      </c>
      <c r="M244">
        <f>I244*J244*(1-K244/100)</f>
        <v>233750</v>
      </c>
      <c r="N244" t="str">
        <f>TEXT(B244,"yyyy-mm")</f>
        <v>2025-10</v>
      </c>
    </row>
    <row r="245" spans="1:14" x14ac:dyDescent="0.3">
      <c r="A245">
        <v>5007</v>
      </c>
      <c r="B245" s="1">
        <v>45659</v>
      </c>
      <c r="C245">
        <v>1016</v>
      </c>
      <c r="D245" t="s">
        <v>28</v>
      </c>
      <c r="E245" t="s">
        <v>33</v>
      </c>
      <c r="F245" t="s">
        <v>27</v>
      </c>
      <c r="G245" t="s">
        <v>24</v>
      </c>
      <c r="H245" t="s">
        <v>16</v>
      </c>
      <c r="I245">
        <v>4</v>
      </c>
      <c r="J245">
        <v>22000</v>
      </c>
      <c r="K245">
        <v>0</v>
      </c>
      <c r="L245" t="s">
        <v>34</v>
      </c>
      <c r="M245">
        <f>I245*J245*(1-K245/100)</f>
        <v>88000</v>
      </c>
      <c r="N245" t="str">
        <f>TEXT(B245,"yyyy-mm")</f>
        <v>2025-01</v>
      </c>
    </row>
    <row r="246" spans="1:14" x14ac:dyDescent="0.3">
      <c r="A246">
        <v>5321</v>
      </c>
      <c r="B246" s="1">
        <v>45774</v>
      </c>
      <c r="C246">
        <v>1016</v>
      </c>
      <c r="D246" t="s">
        <v>28</v>
      </c>
      <c r="E246" t="s">
        <v>33</v>
      </c>
      <c r="F246" t="s">
        <v>27</v>
      </c>
      <c r="G246" t="s">
        <v>65</v>
      </c>
      <c r="H246" t="s">
        <v>16</v>
      </c>
      <c r="I246">
        <v>4</v>
      </c>
      <c r="J246">
        <v>12000</v>
      </c>
      <c r="K246">
        <v>0</v>
      </c>
      <c r="L246" t="s">
        <v>25</v>
      </c>
      <c r="M246">
        <f>I246*J246*(1-K246/100)</f>
        <v>48000</v>
      </c>
      <c r="N246" t="str">
        <f>TEXT(B246,"yyyy-mm")</f>
        <v>2025-04</v>
      </c>
    </row>
    <row r="247" spans="1:14" x14ac:dyDescent="0.3">
      <c r="A247">
        <v>5504</v>
      </c>
      <c r="B247" s="1">
        <v>45847</v>
      </c>
      <c r="C247">
        <v>1016</v>
      </c>
      <c r="D247" t="s">
        <v>28</v>
      </c>
      <c r="E247" t="s">
        <v>33</v>
      </c>
      <c r="F247" t="s">
        <v>27</v>
      </c>
      <c r="G247" t="s">
        <v>15</v>
      </c>
      <c r="H247" t="s">
        <v>16</v>
      </c>
      <c r="I247">
        <v>4</v>
      </c>
      <c r="J247">
        <v>18000</v>
      </c>
      <c r="K247">
        <v>0</v>
      </c>
      <c r="L247" t="s">
        <v>25</v>
      </c>
      <c r="M247">
        <f>I247*J247*(1-K247/100)</f>
        <v>72000</v>
      </c>
      <c r="N247" t="str">
        <f>TEXT(B247,"yyyy-mm")</f>
        <v>2025-07</v>
      </c>
    </row>
    <row r="248" spans="1:14" x14ac:dyDescent="0.3">
      <c r="A248">
        <v>5552</v>
      </c>
      <c r="B248" s="1">
        <v>45864</v>
      </c>
      <c r="C248">
        <v>1016</v>
      </c>
      <c r="D248" t="s">
        <v>28</v>
      </c>
      <c r="E248" t="s">
        <v>33</v>
      </c>
      <c r="F248" t="s">
        <v>27</v>
      </c>
      <c r="G248" t="s">
        <v>65</v>
      </c>
      <c r="H248" t="s">
        <v>16</v>
      </c>
      <c r="I248">
        <v>4</v>
      </c>
      <c r="J248">
        <v>12000</v>
      </c>
      <c r="K248">
        <v>15</v>
      </c>
      <c r="L248" t="s">
        <v>34</v>
      </c>
      <c r="M248">
        <f>I248*J248*(1-K248/100)</f>
        <v>40800</v>
      </c>
      <c r="N248" t="str">
        <f>TEXT(B248,"yyyy-mm")</f>
        <v>2025-07</v>
      </c>
    </row>
    <row r="249" spans="1:14" x14ac:dyDescent="0.3">
      <c r="A249">
        <v>5826</v>
      </c>
      <c r="B249" s="1">
        <v>45963</v>
      </c>
      <c r="C249">
        <v>1016</v>
      </c>
      <c r="D249" t="s">
        <v>28</v>
      </c>
      <c r="E249" t="s">
        <v>33</v>
      </c>
      <c r="F249" t="s">
        <v>27</v>
      </c>
      <c r="G249" t="s">
        <v>55</v>
      </c>
      <c r="H249" t="s">
        <v>16</v>
      </c>
      <c r="I249">
        <v>4</v>
      </c>
      <c r="J249">
        <v>2500</v>
      </c>
      <c r="K249">
        <v>0</v>
      </c>
      <c r="L249" t="s">
        <v>43</v>
      </c>
      <c r="M249">
        <f>I249*J249*(1-K249/100)</f>
        <v>10000</v>
      </c>
      <c r="N249" t="str">
        <f>TEXT(B249,"yyyy-mm")</f>
        <v>2025-11</v>
      </c>
    </row>
    <row r="250" spans="1:14" x14ac:dyDescent="0.3">
      <c r="A250">
        <v>5202</v>
      </c>
      <c r="B250" s="1">
        <v>45728</v>
      </c>
      <c r="C250">
        <v>1016</v>
      </c>
      <c r="D250" t="s">
        <v>28</v>
      </c>
      <c r="E250" t="s">
        <v>33</v>
      </c>
      <c r="F250" t="s">
        <v>27</v>
      </c>
      <c r="G250" t="s">
        <v>40</v>
      </c>
      <c r="H250" t="s">
        <v>38</v>
      </c>
      <c r="I250">
        <v>3</v>
      </c>
      <c r="J250">
        <v>900</v>
      </c>
      <c r="K250">
        <v>0</v>
      </c>
      <c r="L250" t="s">
        <v>43</v>
      </c>
      <c r="M250">
        <f>I250*J250*(1-K250/100)</f>
        <v>2700</v>
      </c>
      <c r="N250" t="str">
        <f>TEXT(B250,"yyyy-mm")</f>
        <v>2025-03</v>
      </c>
    </row>
    <row r="251" spans="1:14" x14ac:dyDescent="0.3">
      <c r="A251">
        <v>5262</v>
      </c>
      <c r="B251" s="1">
        <v>45755</v>
      </c>
      <c r="C251">
        <v>1016</v>
      </c>
      <c r="D251" t="s">
        <v>28</v>
      </c>
      <c r="E251" t="s">
        <v>33</v>
      </c>
      <c r="F251" t="s">
        <v>27</v>
      </c>
      <c r="G251" t="s">
        <v>65</v>
      </c>
      <c r="H251" t="s">
        <v>16</v>
      </c>
      <c r="I251">
        <v>3</v>
      </c>
      <c r="J251">
        <v>12000</v>
      </c>
      <c r="K251">
        <v>0</v>
      </c>
      <c r="L251" t="s">
        <v>43</v>
      </c>
      <c r="M251">
        <f>I251*J251*(1-K251/100)</f>
        <v>36000</v>
      </c>
      <c r="N251" t="str">
        <f>TEXT(B251,"yyyy-mm")</f>
        <v>2025-04</v>
      </c>
    </row>
    <row r="252" spans="1:14" x14ac:dyDescent="0.3">
      <c r="A252">
        <v>5360</v>
      </c>
      <c r="B252" s="1">
        <v>45794</v>
      </c>
      <c r="C252">
        <v>1016</v>
      </c>
      <c r="D252" t="s">
        <v>28</v>
      </c>
      <c r="E252" t="s">
        <v>33</v>
      </c>
      <c r="F252" t="s">
        <v>27</v>
      </c>
      <c r="G252" t="s">
        <v>42</v>
      </c>
      <c r="H252" t="s">
        <v>31</v>
      </c>
      <c r="I252">
        <v>3</v>
      </c>
      <c r="J252">
        <v>200</v>
      </c>
      <c r="K252">
        <v>10</v>
      </c>
      <c r="L252" t="s">
        <v>17</v>
      </c>
      <c r="M252">
        <f>I252*J252*(1-K252/100)</f>
        <v>540</v>
      </c>
      <c r="N252" t="str">
        <f>TEXT(B252,"yyyy-mm")</f>
        <v>2025-05</v>
      </c>
    </row>
    <row r="253" spans="1:14" x14ac:dyDescent="0.3">
      <c r="A253">
        <v>5642</v>
      </c>
      <c r="B253" s="1">
        <v>45897</v>
      </c>
      <c r="C253">
        <v>1016</v>
      </c>
      <c r="D253" t="s">
        <v>28</v>
      </c>
      <c r="E253" t="s">
        <v>87</v>
      </c>
      <c r="F253" t="s">
        <v>27</v>
      </c>
      <c r="G253" t="s">
        <v>55</v>
      </c>
      <c r="H253" t="s">
        <v>16</v>
      </c>
      <c r="I253">
        <v>3</v>
      </c>
      <c r="J253">
        <v>2500</v>
      </c>
      <c r="K253">
        <v>5</v>
      </c>
      <c r="L253" t="s">
        <v>25</v>
      </c>
      <c r="M253">
        <f>I253*J253*(1-K253/100)</f>
        <v>7125</v>
      </c>
      <c r="N253" t="str">
        <f>TEXT(B253,"yyyy-mm")</f>
        <v>2025-08</v>
      </c>
    </row>
    <row r="254" spans="1:14" x14ac:dyDescent="0.3">
      <c r="A254">
        <v>5113</v>
      </c>
      <c r="B254" s="1">
        <v>45699</v>
      </c>
      <c r="C254">
        <v>1016</v>
      </c>
      <c r="D254" t="s">
        <v>28</v>
      </c>
      <c r="E254" t="s">
        <v>33</v>
      </c>
      <c r="F254" t="s">
        <v>27</v>
      </c>
      <c r="G254" t="s">
        <v>55</v>
      </c>
      <c r="H254" t="s">
        <v>16</v>
      </c>
      <c r="I254">
        <v>2</v>
      </c>
      <c r="J254">
        <v>2500</v>
      </c>
      <c r="K254">
        <v>0</v>
      </c>
      <c r="L254" t="s">
        <v>17</v>
      </c>
      <c r="M254">
        <f>I254*J254*(1-K254/100)</f>
        <v>5000</v>
      </c>
      <c r="N254" t="str">
        <f>TEXT(B254,"yyyy-mm")</f>
        <v>2025-02</v>
      </c>
    </row>
    <row r="255" spans="1:14" x14ac:dyDescent="0.3">
      <c r="A255">
        <v>5125</v>
      </c>
      <c r="B255" s="1">
        <v>45701</v>
      </c>
      <c r="C255">
        <v>1016</v>
      </c>
      <c r="D255" t="s">
        <v>28</v>
      </c>
      <c r="E255" t="s">
        <v>33</v>
      </c>
      <c r="F255" t="s">
        <v>27</v>
      </c>
      <c r="G255" t="s">
        <v>24</v>
      </c>
      <c r="H255" t="s">
        <v>16</v>
      </c>
      <c r="I255">
        <v>2</v>
      </c>
      <c r="J255">
        <v>22000</v>
      </c>
      <c r="K255">
        <v>10</v>
      </c>
      <c r="L255" t="s">
        <v>25</v>
      </c>
      <c r="M255">
        <f>I255*J255*(1-K255/100)</f>
        <v>39600</v>
      </c>
      <c r="N255" t="str">
        <f>TEXT(B255,"yyyy-mm")</f>
        <v>2025-02</v>
      </c>
    </row>
    <row r="256" spans="1:14" x14ac:dyDescent="0.3">
      <c r="A256">
        <v>5518</v>
      </c>
      <c r="B256" s="1">
        <v>45851</v>
      </c>
      <c r="C256">
        <v>1016</v>
      </c>
      <c r="D256" t="s">
        <v>28</v>
      </c>
      <c r="E256" t="s">
        <v>33</v>
      </c>
      <c r="F256" t="s">
        <v>27</v>
      </c>
      <c r="G256" t="s">
        <v>55</v>
      </c>
      <c r="H256" t="s">
        <v>16</v>
      </c>
      <c r="I256">
        <v>2</v>
      </c>
      <c r="J256">
        <v>2500</v>
      </c>
      <c r="K256">
        <v>0</v>
      </c>
      <c r="L256" t="s">
        <v>34</v>
      </c>
      <c r="M256">
        <f>I256*J256*(1-K256/100)</f>
        <v>5000</v>
      </c>
      <c r="N256" t="str">
        <f>TEXT(B256,"yyyy-mm")</f>
        <v>2025-07</v>
      </c>
    </row>
    <row r="257" spans="1:14" x14ac:dyDescent="0.3">
      <c r="A257">
        <v>5159</v>
      </c>
      <c r="B257" s="1">
        <v>45710</v>
      </c>
      <c r="C257">
        <v>1016</v>
      </c>
      <c r="D257" t="s">
        <v>28</v>
      </c>
      <c r="E257" t="s">
        <v>33</v>
      </c>
      <c r="F257" t="s">
        <v>27</v>
      </c>
      <c r="G257" t="s">
        <v>24</v>
      </c>
      <c r="H257" t="s">
        <v>16</v>
      </c>
      <c r="I257">
        <v>1</v>
      </c>
      <c r="J257">
        <v>22000</v>
      </c>
      <c r="K257">
        <v>0</v>
      </c>
      <c r="L257" t="s">
        <v>43</v>
      </c>
      <c r="M257">
        <f>I257*J257*(1-K257/100)</f>
        <v>22000</v>
      </c>
      <c r="N257" t="str">
        <f>TEXT(B257,"yyyy-mm")</f>
        <v>2025-02</v>
      </c>
    </row>
    <row r="258" spans="1:14" x14ac:dyDescent="0.3">
      <c r="A258">
        <v>5888</v>
      </c>
      <c r="B258" s="1">
        <v>45987</v>
      </c>
      <c r="C258">
        <v>1016</v>
      </c>
      <c r="D258" t="s">
        <v>28</v>
      </c>
      <c r="E258" t="s">
        <v>33</v>
      </c>
      <c r="F258" t="s">
        <v>27</v>
      </c>
      <c r="G258" t="s">
        <v>36</v>
      </c>
      <c r="H258" t="s">
        <v>16</v>
      </c>
      <c r="I258">
        <v>1</v>
      </c>
      <c r="J258">
        <v>55000</v>
      </c>
      <c r="K258">
        <v>5</v>
      </c>
      <c r="L258" t="s">
        <v>43</v>
      </c>
      <c r="M258">
        <f>I258*J258*(1-K258/100)</f>
        <v>52250</v>
      </c>
      <c r="N258" t="str">
        <f>TEXT(B258,"yyyy-mm")</f>
        <v>2025-11</v>
      </c>
    </row>
    <row r="259" spans="1:14" x14ac:dyDescent="0.3">
      <c r="A259">
        <v>5340</v>
      </c>
      <c r="B259" s="1">
        <v>45783</v>
      </c>
      <c r="C259">
        <v>1017</v>
      </c>
      <c r="D259" t="s">
        <v>53</v>
      </c>
      <c r="E259" t="s">
        <v>22</v>
      </c>
      <c r="F259" t="s">
        <v>14</v>
      </c>
      <c r="G259" t="s">
        <v>57</v>
      </c>
      <c r="H259" t="s">
        <v>38</v>
      </c>
      <c r="I259">
        <v>5</v>
      </c>
      <c r="J259">
        <v>16000</v>
      </c>
      <c r="K259">
        <v>5</v>
      </c>
      <c r="L259" t="s">
        <v>25</v>
      </c>
      <c r="M259">
        <f>I259*J259*(1-K259/100)</f>
        <v>76000</v>
      </c>
      <c r="N259" t="str">
        <f>TEXT(B259,"yyyy-mm")</f>
        <v>2025-05</v>
      </c>
    </row>
    <row r="260" spans="1:14" x14ac:dyDescent="0.3">
      <c r="A260">
        <v>5745</v>
      </c>
      <c r="B260" s="1">
        <v>45937</v>
      </c>
      <c r="C260">
        <v>1017</v>
      </c>
      <c r="D260" t="s">
        <v>53</v>
      </c>
      <c r="E260" t="s">
        <v>22</v>
      </c>
      <c r="F260" t="s">
        <v>14</v>
      </c>
      <c r="G260" t="s">
        <v>55</v>
      </c>
      <c r="H260" t="s">
        <v>16</v>
      </c>
      <c r="I260">
        <v>5</v>
      </c>
      <c r="J260">
        <v>2500</v>
      </c>
      <c r="K260">
        <v>5</v>
      </c>
      <c r="L260" t="s">
        <v>34</v>
      </c>
      <c r="M260">
        <f>I260*J260*(1-K260/100)</f>
        <v>11875</v>
      </c>
      <c r="N260" t="str">
        <f>TEXT(B260,"yyyy-mm")</f>
        <v>2025-10</v>
      </c>
    </row>
    <row r="261" spans="1:14" x14ac:dyDescent="0.3">
      <c r="A261">
        <v>5938</v>
      </c>
      <c r="B261" s="1">
        <v>46003</v>
      </c>
      <c r="C261">
        <v>1017</v>
      </c>
      <c r="D261" t="s">
        <v>53</v>
      </c>
      <c r="E261" t="s">
        <v>22</v>
      </c>
      <c r="F261" t="s">
        <v>14</v>
      </c>
      <c r="G261" t="s">
        <v>52</v>
      </c>
      <c r="H261" t="s">
        <v>16</v>
      </c>
      <c r="I261">
        <v>5</v>
      </c>
      <c r="J261">
        <v>6000</v>
      </c>
      <c r="K261">
        <v>0</v>
      </c>
      <c r="L261" t="s">
        <v>20</v>
      </c>
      <c r="M261">
        <f>I261*J261*(1-K261/100)</f>
        <v>30000</v>
      </c>
      <c r="N261" t="str">
        <f>TEXT(B261,"yyyy-mm")</f>
        <v>2025-12</v>
      </c>
    </row>
    <row r="262" spans="1:14" x14ac:dyDescent="0.3">
      <c r="A262">
        <v>5129</v>
      </c>
      <c r="B262" s="1">
        <v>45702</v>
      </c>
      <c r="C262">
        <v>1017</v>
      </c>
      <c r="D262" t="s">
        <v>53</v>
      </c>
      <c r="E262" t="s">
        <v>22</v>
      </c>
      <c r="F262" t="s">
        <v>14</v>
      </c>
      <c r="G262" t="s">
        <v>19</v>
      </c>
      <c r="H262" t="s">
        <v>16</v>
      </c>
      <c r="I262">
        <v>4</v>
      </c>
      <c r="J262">
        <v>9500</v>
      </c>
      <c r="K262">
        <v>0</v>
      </c>
      <c r="L262" t="s">
        <v>25</v>
      </c>
      <c r="M262">
        <f>I262*J262*(1-K262/100)</f>
        <v>38000</v>
      </c>
      <c r="N262" t="str">
        <f>TEXT(B262,"yyyy-mm")</f>
        <v>2025-02</v>
      </c>
    </row>
    <row r="263" spans="1:14" x14ac:dyDescent="0.3">
      <c r="A263">
        <v>5699</v>
      </c>
      <c r="B263" s="1">
        <v>45922</v>
      </c>
      <c r="C263">
        <v>1017</v>
      </c>
      <c r="D263" t="s">
        <v>53</v>
      </c>
      <c r="E263" t="s">
        <v>22</v>
      </c>
      <c r="F263" t="s">
        <v>14</v>
      </c>
      <c r="G263" t="s">
        <v>37</v>
      </c>
      <c r="H263" t="s">
        <v>38</v>
      </c>
      <c r="I263">
        <v>4</v>
      </c>
      <c r="J263">
        <v>7500</v>
      </c>
      <c r="K263">
        <v>10</v>
      </c>
      <c r="L263" t="s">
        <v>43</v>
      </c>
      <c r="M263">
        <f>I263*J263*(1-K263/100)</f>
        <v>27000</v>
      </c>
      <c r="N263" t="str">
        <f>TEXT(B263,"yyyy-mm")</f>
        <v>2025-09</v>
      </c>
    </row>
    <row r="264" spans="1:14" x14ac:dyDescent="0.3">
      <c r="A264">
        <v>5806</v>
      </c>
      <c r="B264" s="1">
        <v>45957</v>
      </c>
      <c r="C264">
        <v>1017</v>
      </c>
      <c r="D264" t="s">
        <v>53</v>
      </c>
      <c r="E264" t="s">
        <v>22</v>
      </c>
      <c r="F264" t="s">
        <v>14</v>
      </c>
      <c r="G264" t="s">
        <v>65</v>
      </c>
      <c r="H264" t="s">
        <v>16</v>
      </c>
      <c r="I264">
        <v>4</v>
      </c>
      <c r="J264">
        <v>12000</v>
      </c>
      <c r="K264">
        <v>10</v>
      </c>
      <c r="L264" t="s">
        <v>34</v>
      </c>
      <c r="M264">
        <f>I264*J264*(1-K264/100)</f>
        <v>43200</v>
      </c>
      <c r="N264" t="str">
        <f>TEXT(B264,"yyyy-mm")</f>
        <v>2025-10</v>
      </c>
    </row>
    <row r="265" spans="1:14" x14ac:dyDescent="0.3">
      <c r="A265">
        <v>5022</v>
      </c>
      <c r="B265" s="1">
        <v>45663</v>
      </c>
      <c r="C265">
        <v>1017</v>
      </c>
      <c r="D265" t="s">
        <v>53</v>
      </c>
      <c r="E265" t="s">
        <v>22</v>
      </c>
      <c r="F265" t="s">
        <v>14</v>
      </c>
      <c r="G265" t="s">
        <v>42</v>
      </c>
      <c r="H265" t="s">
        <v>31</v>
      </c>
      <c r="I265">
        <v>3</v>
      </c>
      <c r="J265">
        <v>200</v>
      </c>
      <c r="K265">
        <v>0</v>
      </c>
      <c r="L265" t="s">
        <v>20</v>
      </c>
      <c r="M265">
        <f>I265*J265*(1-K265/100)</f>
        <v>600</v>
      </c>
      <c r="N265" t="str">
        <f>TEXT(B265,"yyyy-mm")</f>
        <v>2025-01</v>
      </c>
    </row>
    <row r="266" spans="1:14" x14ac:dyDescent="0.3">
      <c r="A266">
        <v>5700</v>
      </c>
      <c r="B266" s="1">
        <v>45922</v>
      </c>
      <c r="C266">
        <v>1017</v>
      </c>
      <c r="D266" t="s">
        <v>53</v>
      </c>
      <c r="E266" t="s">
        <v>22</v>
      </c>
      <c r="F266" t="s">
        <v>14</v>
      </c>
      <c r="G266" t="s">
        <v>42</v>
      </c>
      <c r="H266" t="s">
        <v>31</v>
      </c>
      <c r="I266">
        <v>3</v>
      </c>
      <c r="J266">
        <v>200</v>
      </c>
      <c r="K266">
        <v>0</v>
      </c>
      <c r="L266" t="s">
        <v>43</v>
      </c>
      <c r="M266">
        <f>I266*J266*(1-K266/100)</f>
        <v>600</v>
      </c>
      <c r="N266" t="str">
        <f>TEXT(B266,"yyyy-mm")</f>
        <v>2025-09</v>
      </c>
    </row>
    <row r="267" spans="1:14" x14ac:dyDescent="0.3">
      <c r="A267">
        <v>5811</v>
      </c>
      <c r="B267" s="1">
        <v>45959</v>
      </c>
      <c r="C267">
        <v>1017</v>
      </c>
      <c r="D267" t="s">
        <v>53</v>
      </c>
      <c r="E267" t="s">
        <v>22</v>
      </c>
      <c r="F267" t="s">
        <v>14</v>
      </c>
      <c r="G267" t="s">
        <v>30</v>
      </c>
      <c r="H267" t="s">
        <v>31</v>
      </c>
      <c r="I267">
        <v>3</v>
      </c>
      <c r="J267">
        <v>350</v>
      </c>
      <c r="K267">
        <v>0</v>
      </c>
      <c r="L267" t="s">
        <v>20</v>
      </c>
      <c r="M267">
        <f>I267*J267*(1-K267/100)</f>
        <v>1050</v>
      </c>
      <c r="N267" t="str">
        <f>TEXT(B267,"yyyy-mm")</f>
        <v>2025-10</v>
      </c>
    </row>
    <row r="268" spans="1:14" x14ac:dyDescent="0.3">
      <c r="A268">
        <v>5110</v>
      </c>
      <c r="B268" s="1">
        <v>45697</v>
      </c>
      <c r="C268">
        <v>1017</v>
      </c>
      <c r="D268" t="s">
        <v>53</v>
      </c>
      <c r="E268" t="s">
        <v>22</v>
      </c>
      <c r="F268" t="s">
        <v>14</v>
      </c>
      <c r="G268" t="s">
        <v>65</v>
      </c>
      <c r="H268" t="s">
        <v>16</v>
      </c>
      <c r="I268">
        <v>2</v>
      </c>
      <c r="J268">
        <v>12000</v>
      </c>
      <c r="K268">
        <v>0</v>
      </c>
      <c r="L268" t="s">
        <v>43</v>
      </c>
      <c r="M268">
        <f>I268*J268*(1-K268/100)</f>
        <v>24000</v>
      </c>
      <c r="N268" t="str">
        <f>TEXT(B268,"yyyy-mm")</f>
        <v>2025-02</v>
      </c>
    </row>
    <row r="269" spans="1:14" x14ac:dyDescent="0.3">
      <c r="A269">
        <v>5373</v>
      </c>
      <c r="B269" s="1">
        <v>45800</v>
      </c>
      <c r="C269">
        <v>1017</v>
      </c>
      <c r="D269" t="s">
        <v>53</v>
      </c>
      <c r="E269" t="s">
        <v>22</v>
      </c>
      <c r="F269" t="s">
        <v>14</v>
      </c>
      <c r="G269" t="s">
        <v>65</v>
      </c>
      <c r="H269" t="s">
        <v>16</v>
      </c>
      <c r="I269">
        <v>2</v>
      </c>
      <c r="J269">
        <v>12000</v>
      </c>
      <c r="K269">
        <v>0</v>
      </c>
      <c r="L269" t="s">
        <v>17</v>
      </c>
      <c r="M269">
        <f>I269*J269*(1-K269/100)</f>
        <v>24000</v>
      </c>
      <c r="N269" t="str">
        <f>TEXT(B269,"yyyy-mm")</f>
        <v>2025-05</v>
      </c>
    </row>
    <row r="270" spans="1:14" x14ac:dyDescent="0.3">
      <c r="A270">
        <v>5494</v>
      </c>
      <c r="B270" s="1">
        <v>45845</v>
      </c>
      <c r="C270">
        <v>1017</v>
      </c>
      <c r="D270" t="s">
        <v>53</v>
      </c>
      <c r="E270" t="s">
        <v>87</v>
      </c>
      <c r="F270" t="s">
        <v>14</v>
      </c>
      <c r="G270" t="s">
        <v>55</v>
      </c>
      <c r="H270" t="s">
        <v>16</v>
      </c>
      <c r="I270">
        <v>2</v>
      </c>
      <c r="J270">
        <v>2500</v>
      </c>
      <c r="K270">
        <v>0</v>
      </c>
      <c r="L270" t="s">
        <v>20</v>
      </c>
      <c r="M270">
        <f>I270*J270*(1-K270/100)</f>
        <v>5000</v>
      </c>
      <c r="N270" t="str">
        <f>TEXT(B270,"yyyy-mm")</f>
        <v>2025-07</v>
      </c>
    </row>
    <row r="271" spans="1:14" x14ac:dyDescent="0.3">
      <c r="A271">
        <v>5809</v>
      </c>
      <c r="B271" s="1">
        <v>45959</v>
      </c>
      <c r="C271">
        <v>1017</v>
      </c>
      <c r="D271" t="s">
        <v>53</v>
      </c>
      <c r="E271" t="s">
        <v>22</v>
      </c>
      <c r="F271" t="s">
        <v>14</v>
      </c>
      <c r="G271" t="s">
        <v>19</v>
      </c>
      <c r="H271" t="s">
        <v>16</v>
      </c>
      <c r="I271">
        <v>2</v>
      </c>
      <c r="J271">
        <v>9500</v>
      </c>
      <c r="K271">
        <v>0</v>
      </c>
      <c r="L271" t="s">
        <v>17</v>
      </c>
      <c r="M271">
        <f>I271*J271*(1-K271/100)</f>
        <v>19000</v>
      </c>
      <c r="N271" t="str">
        <f>TEXT(B271,"yyyy-mm")</f>
        <v>2025-10</v>
      </c>
    </row>
    <row r="272" spans="1:14" x14ac:dyDescent="0.3">
      <c r="A272">
        <v>5191</v>
      </c>
      <c r="B272" s="1">
        <v>45722</v>
      </c>
      <c r="C272">
        <v>1017</v>
      </c>
      <c r="D272" t="s">
        <v>53</v>
      </c>
      <c r="E272" t="s">
        <v>22</v>
      </c>
      <c r="F272" t="s">
        <v>14</v>
      </c>
      <c r="G272" t="s">
        <v>24</v>
      </c>
      <c r="H272" t="s">
        <v>16</v>
      </c>
      <c r="I272">
        <v>1</v>
      </c>
      <c r="J272">
        <v>22000</v>
      </c>
      <c r="K272">
        <v>10</v>
      </c>
      <c r="L272" t="s">
        <v>43</v>
      </c>
      <c r="M272">
        <f>I272*J272*(1-K272/100)</f>
        <v>19800</v>
      </c>
      <c r="N272" t="str">
        <f>TEXT(B272,"yyyy-mm")</f>
        <v>2025-03</v>
      </c>
    </row>
    <row r="273" spans="1:14" x14ac:dyDescent="0.3">
      <c r="A273">
        <v>5251</v>
      </c>
      <c r="B273" s="1">
        <v>45748</v>
      </c>
      <c r="C273">
        <v>1017</v>
      </c>
      <c r="D273" t="s">
        <v>53</v>
      </c>
      <c r="E273" t="s">
        <v>22</v>
      </c>
      <c r="F273" t="s">
        <v>14</v>
      </c>
      <c r="G273" t="s">
        <v>37</v>
      </c>
      <c r="H273" t="s">
        <v>38</v>
      </c>
      <c r="I273">
        <v>1</v>
      </c>
      <c r="J273">
        <v>7500</v>
      </c>
      <c r="K273">
        <v>0</v>
      </c>
      <c r="L273" t="s">
        <v>20</v>
      </c>
      <c r="M273">
        <f>I273*J273*(1-K273/100)</f>
        <v>7500</v>
      </c>
      <c r="N273" t="str">
        <f>TEXT(B273,"yyyy-mm")</f>
        <v>2025-04</v>
      </c>
    </row>
    <row r="274" spans="1:14" x14ac:dyDescent="0.3">
      <c r="A274">
        <v>5617</v>
      </c>
      <c r="B274" s="1">
        <v>45889</v>
      </c>
      <c r="C274">
        <v>1017</v>
      </c>
      <c r="D274" t="s">
        <v>53</v>
      </c>
      <c r="E274" t="s">
        <v>22</v>
      </c>
      <c r="F274" t="s">
        <v>14</v>
      </c>
      <c r="G274" t="s">
        <v>65</v>
      </c>
      <c r="H274" t="s">
        <v>16</v>
      </c>
      <c r="I274">
        <v>1</v>
      </c>
      <c r="J274">
        <v>12000</v>
      </c>
      <c r="K274">
        <v>0</v>
      </c>
      <c r="L274" t="s">
        <v>17</v>
      </c>
      <c r="M274">
        <f>I274*J274*(1-K274/100)</f>
        <v>12000</v>
      </c>
      <c r="N274" t="str">
        <f>TEXT(B274,"yyyy-mm")</f>
        <v>2025-08</v>
      </c>
    </row>
    <row r="275" spans="1:14" x14ac:dyDescent="0.3">
      <c r="A275">
        <v>5151</v>
      </c>
      <c r="B275" s="1">
        <v>45709</v>
      </c>
      <c r="C275">
        <v>1018</v>
      </c>
      <c r="D275" t="s">
        <v>46</v>
      </c>
      <c r="E275" t="s">
        <v>29</v>
      </c>
      <c r="F275" t="s">
        <v>14</v>
      </c>
      <c r="G275" t="s">
        <v>55</v>
      </c>
      <c r="H275" t="s">
        <v>16</v>
      </c>
      <c r="I275">
        <v>5</v>
      </c>
      <c r="J275">
        <v>2500</v>
      </c>
      <c r="K275">
        <v>15</v>
      </c>
      <c r="L275" t="s">
        <v>17</v>
      </c>
      <c r="M275">
        <f>I275*J275*(1-K275/100)</f>
        <v>10625</v>
      </c>
      <c r="N275" t="str">
        <f>TEXT(B275,"yyyy-mm")</f>
        <v>2025-02</v>
      </c>
    </row>
    <row r="276" spans="1:14" x14ac:dyDescent="0.3">
      <c r="A276">
        <v>5183</v>
      </c>
      <c r="B276" s="1">
        <v>45719</v>
      </c>
      <c r="C276">
        <v>1018</v>
      </c>
      <c r="D276" t="s">
        <v>46</v>
      </c>
      <c r="E276" t="s">
        <v>29</v>
      </c>
      <c r="F276" t="s">
        <v>14</v>
      </c>
      <c r="G276" t="s">
        <v>30</v>
      </c>
      <c r="H276" t="s">
        <v>31</v>
      </c>
      <c r="I276">
        <v>5</v>
      </c>
      <c r="J276">
        <v>350</v>
      </c>
      <c r="K276">
        <v>0</v>
      </c>
      <c r="L276" t="s">
        <v>34</v>
      </c>
      <c r="M276">
        <f>I276*J276*(1-K276/100)</f>
        <v>1750</v>
      </c>
      <c r="N276" t="str">
        <f>TEXT(B276,"yyyy-mm")</f>
        <v>2025-03</v>
      </c>
    </row>
    <row r="277" spans="1:14" x14ac:dyDescent="0.3">
      <c r="A277">
        <v>5520</v>
      </c>
      <c r="B277" s="1">
        <v>45852</v>
      </c>
      <c r="C277">
        <v>1018</v>
      </c>
      <c r="D277" t="s">
        <v>46</v>
      </c>
      <c r="E277" t="s">
        <v>29</v>
      </c>
      <c r="F277" t="s">
        <v>14</v>
      </c>
      <c r="G277" t="s">
        <v>19</v>
      </c>
      <c r="H277" t="s">
        <v>16</v>
      </c>
      <c r="I277">
        <v>5</v>
      </c>
      <c r="J277">
        <v>9500</v>
      </c>
      <c r="K277">
        <v>5</v>
      </c>
      <c r="L277" t="s">
        <v>25</v>
      </c>
      <c r="M277">
        <f>I277*J277*(1-K277/100)</f>
        <v>45125</v>
      </c>
      <c r="N277" t="str">
        <f>TEXT(B277,"yyyy-mm")</f>
        <v>2025-07</v>
      </c>
    </row>
    <row r="278" spans="1:14" x14ac:dyDescent="0.3">
      <c r="A278">
        <v>5562</v>
      </c>
      <c r="B278" s="1">
        <v>45869</v>
      </c>
      <c r="C278">
        <v>1018</v>
      </c>
      <c r="D278" t="s">
        <v>46</v>
      </c>
      <c r="E278" t="s">
        <v>29</v>
      </c>
      <c r="F278" t="s">
        <v>14</v>
      </c>
      <c r="G278" t="s">
        <v>52</v>
      </c>
      <c r="H278" t="s">
        <v>16</v>
      </c>
      <c r="I278">
        <v>5</v>
      </c>
      <c r="J278">
        <v>6000</v>
      </c>
      <c r="K278">
        <v>5</v>
      </c>
      <c r="L278" t="s">
        <v>34</v>
      </c>
      <c r="M278">
        <f>I278*J278*(1-K278/100)</f>
        <v>28500</v>
      </c>
      <c r="N278" t="str">
        <f>TEXT(B278,"yyyy-mm")</f>
        <v>2025-07</v>
      </c>
    </row>
    <row r="279" spans="1:14" x14ac:dyDescent="0.3">
      <c r="A279">
        <v>5693</v>
      </c>
      <c r="B279" s="1">
        <v>45921</v>
      </c>
      <c r="C279">
        <v>1018</v>
      </c>
      <c r="D279" t="s">
        <v>46</v>
      </c>
      <c r="E279" t="s">
        <v>29</v>
      </c>
      <c r="F279" t="s">
        <v>14</v>
      </c>
      <c r="G279" t="s">
        <v>15</v>
      </c>
      <c r="H279" t="s">
        <v>16</v>
      </c>
      <c r="I279">
        <v>5</v>
      </c>
      <c r="J279">
        <v>18000</v>
      </c>
      <c r="K279">
        <v>0</v>
      </c>
      <c r="L279" t="s">
        <v>17</v>
      </c>
      <c r="M279">
        <f>I279*J279*(1-K279/100)</f>
        <v>90000</v>
      </c>
      <c r="N279" t="str">
        <f>TEXT(B279,"yyyy-mm")</f>
        <v>2025-09</v>
      </c>
    </row>
    <row r="280" spans="1:14" x14ac:dyDescent="0.3">
      <c r="A280">
        <v>5897</v>
      </c>
      <c r="B280" s="1">
        <v>45992</v>
      </c>
      <c r="C280">
        <v>1018</v>
      </c>
      <c r="D280" t="s">
        <v>46</v>
      </c>
      <c r="E280" t="s">
        <v>29</v>
      </c>
      <c r="F280" t="s">
        <v>14</v>
      </c>
      <c r="G280" t="s">
        <v>37</v>
      </c>
      <c r="H280" t="s">
        <v>38</v>
      </c>
      <c r="I280">
        <v>5</v>
      </c>
      <c r="J280">
        <v>7500</v>
      </c>
      <c r="K280">
        <v>0</v>
      </c>
      <c r="L280" t="s">
        <v>20</v>
      </c>
      <c r="M280">
        <f>I280*J280*(1-K280/100)</f>
        <v>37500</v>
      </c>
      <c r="N280" t="str">
        <f>TEXT(B280,"yyyy-mm")</f>
        <v>2025-12</v>
      </c>
    </row>
    <row r="281" spans="1:14" x14ac:dyDescent="0.3">
      <c r="A281">
        <v>5100</v>
      </c>
      <c r="B281" s="1">
        <v>45695</v>
      </c>
      <c r="C281">
        <v>1018</v>
      </c>
      <c r="D281" t="s">
        <v>46</v>
      </c>
      <c r="E281" t="s">
        <v>29</v>
      </c>
      <c r="F281" t="s">
        <v>14</v>
      </c>
      <c r="G281" t="s">
        <v>65</v>
      </c>
      <c r="H281" t="s">
        <v>16</v>
      </c>
      <c r="I281">
        <v>4</v>
      </c>
      <c r="J281">
        <v>12000</v>
      </c>
      <c r="K281">
        <v>0</v>
      </c>
      <c r="L281" t="s">
        <v>34</v>
      </c>
      <c r="M281">
        <f>I281*J281*(1-K281/100)</f>
        <v>48000</v>
      </c>
      <c r="N281" t="str">
        <f>TEXT(B281,"yyyy-mm")</f>
        <v>2025-02</v>
      </c>
    </row>
    <row r="282" spans="1:14" x14ac:dyDescent="0.3">
      <c r="A282">
        <v>5886</v>
      </c>
      <c r="B282" s="1">
        <v>45985</v>
      </c>
      <c r="C282">
        <v>1018</v>
      </c>
      <c r="D282" t="s">
        <v>46</v>
      </c>
      <c r="E282" t="s">
        <v>29</v>
      </c>
      <c r="F282" t="s">
        <v>14</v>
      </c>
      <c r="G282" t="s">
        <v>40</v>
      </c>
      <c r="H282" t="s">
        <v>38</v>
      </c>
      <c r="I282">
        <v>4</v>
      </c>
      <c r="J282">
        <v>900</v>
      </c>
      <c r="K282">
        <v>10</v>
      </c>
      <c r="L282" t="s">
        <v>25</v>
      </c>
      <c r="M282">
        <f>I282*J282*(1-K282/100)</f>
        <v>3240</v>
      </c>
      <c r="N282" t="str">
        <f>TEXT(B282,"yyyy-mm")</f>
        <v>2025-11</v>
      </c>
    </row>
    <row r="283" spans="1:14" x14ac:dyDescent="0.3">
      <c r="A283">
        <v>5261</v>
      </c>
      <c r="B283" s="1">
        <v>45753</v>
      </c>
      <c r="C283">
        <v>1018</v>
      </c>
      <c r="D283" t="s">
        <v>46</v>
      </c>
      <c r="E283" t="s">
        <v>29</v>
      </c>
      <c r="F283" t="s">
        <v>14</v>
      </c>
      <c r="G283" t="s">
        <v>40</v>
      </c>
      <c r="H283" t="s">
        <v>38</v>
      </c>
      <c r="I283">
        <v>3</v>
      </c>
      <c r="J283">
        <v>900</v>
      </c>
      <c r="K283">
        <v>5</v>
      </c>
      <c r="L283" t="s">
        <v>17</v>
      </c>
      <c r="M283">
        <f>I283*J283*(1-K283/100)</f>
        <v>2565</v>
      </c>
      <c r="N283" t="str">
        <f>TEXT(B283,"yyyy-mm")</f>
        <v>2025-04</v>
      </c>
    </row>
    <row r="284" spans="1:14" x14ac:dyDescent="0.3">
      <c r="A284">
        <v>5346</v>
      </c>
      <c r="B284" s="1">
        <v>45790</v>
      </c>
      <c r="C284">
        <v>1018</v>
      </c>
      <c r="D284" t="s">
        <v>46</v>
      </c>
      <c r="E284" t="s">
        <v>29</v>
      </c>
      <c r="F284" t="s">
        <v>14</v>
      </c>
      <c r="G284" t="s">
        <v>30</v>
      </c>
      <c r="H284" t="s">
        <v>31</v>
      </c>
      <c r="I284">
        <v>3</v>
      </c>
      <c r="J284">
        <v>350</v>
      </c>
      <c r="K284">
        <v>0</v>
      </c>
      <c r="L284" t="s">
        <v>34</v>
      </c>
      <c r="M284">
        <f>I284*J284*(1-K284/100)</f>
        <v>1050</v>
      </c>
      <c r="N284" t="str">
        <f>TEXT(B284,"yyyy-mm")</f>
        <v>2025-05</v>
      </c>
    </row>
    <row r="285" spans="1:14" x14ac:dyDescent="0.3">
      <c r="A285">
        <v>5893</v>
      </c>
      <c r="B285" s="1">
        <v>45989</v>
      </c>
      <c r="C285">
        <v>1018</v>
      </c>
      <c r="D285" t="s">
        <v>46</v>
      </c>
      <c r="E285" t="s">
        <v>29</v>
      </c>
      <c r="F285" t="s">
        <v>14</v>
      </c>
      <c r="G285" t="s">
        <v>30</v>
      </c>
      <c r="H285" t="s">
        <v>31</v>
      </c>
      <c r="I285">
        <v>3</v>
      </c>
      <c r="J285">
        <v>350</v>
      </c>
      <c r="K285">
        <v>10</v>
      </c>
      <c r="L285" t="s">
        <v>20</v>
      </c>
      <c r="M285">
        <f>I285*J285*(1-K285/100)</f>
        <v>945</v>
      </c>
      <c r="N285" t="str">
        <f>TEXT(B285,"yyyy-mm")</f>
        <v>2025-11</v>
      </c>
    </row>
    <row r="286" spans="1:14" x14ac:dyDescent="0.3">
      <c r="A286">
        <v>5016</v>
      </c>
      <c r="B286" s="1">
        <v>45662</v>
      </c>
      <c r="C286">
        <v>1018</v>
      </c>
      <c r="D286" t="s">
        <v>46</v>
      </c>
      <c r="E286" t="s">
        <v>29</v>
      </c>
      <c r="F286" t="s">
        <v>14</v>
      </c>
      <c r="G286" t="s">
        <v>19</v>
      </c>
      <c r="H286" t="s">
        <v>16</v>
      </c>
      <c r="I286">
        <v>2</v>
      </c>
      <c r="J286">
        <v>9500</v>
      </c>
      <c r="K286">
        <v>10</v>
      </c>
      <c r="L286" t="s">
        <v>34</v>
      </c>
      <c r="M286">
        <f>I286*J286*(1-K286/100)</f>
        <v>17100</v>
      </c>
      <c r="N286" t="str">
        <f>TEXT(B286,"yyyy-mm")</f>
        <v>2025-01</v>
      </c>
    </row>
    <row r="287" spans="1:14" x14ac:dyDescent="0.3">
      <c r="A287">
        <v>5038</v>
      </c>
      <c r="B287" s="1">
        <v>45671</v>
      </c>
      <c r="C287">
        <v>1018</v>
      </c>
      <c r="D287" t="s">
        <v>46</v>
      </c>
      <c r="E287" t="s">
        <v>29</v>
      </c>
      <c r="F287" t="s">
        <v>14</v>
      </c>
      <c r="G287" t="s">
        <v>65</v>
      </c>
      <c r="H287" t="s">
        <v>16</v>
      </c>
      <c r="I287">
        <v>2</v>
      </c>
      <c r="J287">
        <v>12000</v>
      </c>
      <c r="K287">
        <v>5</v>
      </c>
      <c r="L287" t="s">
        <v>20</v>
      </c>
      <c r="M287">
        <f>I287*J287*(1-K287/100)</f>
        <v>22800</v>
      </c>
      <c r="N287" t="str">
        <f>TEXT(B287,"yyyy-mm")</f>
        <v>2025-01</v>
      </c>
    </row>
    <row r="288" spans="1:14" x14ac:dyDescent="0.3">
      <c r="A288">
        <v>5103</v>
      </c>
      <c r="B288" s="1">
        <v>45696</v>
      </c>
      <c r="C288">
        <v>1018</v>
      </c>
      <c r="D288" t="s">
        <v>46</v>
      </c>
      <c r="E288" t="s">
        <v>29</v>
      </c>
      <c r="F288" t="s">
        <v>14</v>
      </c>
      <c r="G288" t="s">
        <v>24</v>
      </c>
      <c r="H288" t="s">
        <v>16</v>
      </c>
      <c r="I288">
        <v>2</v>
      </c>
      <c r="J288">
        <v>22000</v>
      </c>
      <c r="K288">
        <v>10</v>
      </c>
      <c r="L288" t="s">
        <v>43</v>
      </c>
      <c r="M288">
        <f>I288*J288*(1-K288/100)</f>
        <v>39600</v>
      </c>
      <c r="N288" t="str">
        <f>TEXT(B288,"yyyy-mm")</f>
        <v>2025-02</v>
      </c>
    </row>
    <row r="289" spans="1:14" x14ac:dyDescent="0.3">
      <c r="A289">
        <v>5607</v>
      </c>
      <c r="B289" s="1">
        <v>45886</v>
      </c>
      <c r="C289">
        <v>1018</v>
      </c>
      <c r="D289" t="s">
        <v>46</v>
      </c>
      <c r="E289" t="s">
        <v>29</v>
      </c>
      <c r="F289" t="s">
        <v>14</v>
      </c>
      <c r="G289" t="s">
        <v>15</v>
      </c>
      <c r="H289" t="s">
        <v>16</v>
      </c>
      <c r="I289">
        <v>2</v>
      </c>
      <c r="J289">
        <v>18000</v>
      </c>
      <c r="K289">
        <v>0</v>
      </c>
      <c r="L289" t="s">
        <v>17</v>
      </c>
      <c r="M289">
        <f>I289*J289*(1-K289/100)</f>
        <v>36000</v>
      </c>
      <c r="N289" t="str">
        <f>TEXT(B289,"yyyy-mm")</f>
        <v>2025-08</v>
      </c>
    </row>
    <row r="290" spans="1:14" x14ac:dyDescent="0.3">
      <c r="A290">
        <v>5741</v>
      </c>
      <c r="B290" s="1">
        <v>45936</v>
      </c>
      <c r="C290">
        <v>1018</v>
      </c>
      <c r="D290" t="s">
        <v>46</v>
      </c>
      <c r="E290" t="s">
        <v>29</v>
      </c>
      <c r="F290" t="s">
        <v>14</v>
      </c>
      <c r="G290" t="s">
        <v>55</v>
      </c>
      <c r="H290" t="s">
        <v>16</v>
      </c>
      <c r="I290">
        <v>2</v>
      </c>
      <c r="J290">
        <v>2500</v>
      </c>
      <c r="K290">
        <v>0</v>
      </c>
      <c r="L290" t="s">
        <v>25</v>
      </c>
      <c r="M290">
        <f>I290*J290*(1-K290/100)</f>
        <v>5000</v>
      </c>
      <c r="N290" t="str">
        <f>TEXT(B290,"yyyy-mm")</f>
        <v>2025-10</v>
      </c>
    </row>
    <row r="291" spans="1:14" x14ac:dyDescent="0.3">
      <c r="A291">
        <v>5810</v>
      </c>
      <c r="B291" s="1">
        <v>45959</v>
      </c>
      <c r="C291">
        <v>1018</v>
      </c>
      <c r="D291" t="s">
        <v>46</v>
      </c>
      <c r="E291" t="s">
        <v>29</v>
      </c>
      <c r="F291" t="s">
        <v>14</v>
      </c>
      <c r="G291" t="s">
        <v>30</v>
      </c>
      <c r="H291" t="s">
        <v>31</v>
      </c>
      <c r="I291">
        <v>2</v>
      </c>
      <c r="J291">
        <v>350</v>
      </c>
      <c r="K291">
        <v>10</v>
      </c>
      <c r="L291" t="s">
        <v>25</v>
      </c>
      <c r="M291">
        <f>I291*J291*(1-K291/100)</f>
        <v>630</v>
      </c>
      <c r="N291" t="str">
        <f>TEXT(B291,"yyyy-mm")</f>
        <v>2025-10</v>
      </c>
    </row>
    <row r="292" spans="1:14" x14ac:dyDescent="0.3">
      <c r="A292">
        <v>5955</v>
      </c>
      <c r="B292" s="1">
        <v>46008</v>
      </c>
      <c r="C292">
        <v>1018</v>
      </c>
      <c r="D292" t="s">
        <v>46</v>
      </c>
      <c r="E292" t="s">
        <v>29</v>
      </c>
      <c r="F292" t="s">
        <v>14</v>
      </c>
      <c r="G292" t="s">
        <v>30</v>
      </c>
      <c r="H292" t="s">
        <v>31</v>
      </c>
      <c r="I292">
        <v>2</v>
      </c>
      <c r="J292">
        <v>350</v>
      </c>
      <c r="K292">
        <v>15</v>
      </c>
      <c r="L292" t="s">
        <v>25</v>
      </c>
      <c r="M292">
        <f>I292*J292*(1-K292/100)</f>
        <v>595</v>
      </c>
      <c r="N292" t="str">
        <f>TEXT(B292,"yyyy-mm")</f>
        <v>2025-12</v>
      </c>
    </row>
    <row r="293" spans="1:14" x14ac:dyDescent="0.3">
      <c r="A293">
        <v>5973</v>
      </c>
      <c r="B293" s="1">
        <v>46012</v>
      </c>
      <c r="C293">
        <v>1018</v>
      </c>
      <c r="D293" t="s">
        <v>46</v>
      </c>
      <c r="E293" t="s">
        <v>29</v>
      </c>
      <c r="F293" t="s">
        <v>14</v>
      </c>
      <c r="G293" t="s">
        <v>55</v>
      </c>
      <c r="H293" t="s">
        <v>16</v>
      </c>
      <c r="I293">
        <v>2</v>
      </c>
      <c r="J293">
        <v>2500</v>
      </c>
      <c r="K293">
        <v>0</v>
      </c>
      <c r="L293" t="s">
        <v>43</v>
      </c>
      <c r="M293">
        <f>I293*J293*(1-K293/100)</f>
        <v>5000</v>
      </c>
      <c r="N293" t="str">
        <f>TEXT(B293,"yyyy-mm")</f>
        <v>2025-12</v>
      </c>
    </row>
    <row r="294" spans="1:14" x14ac:dyDescent="0.3">
      <c r="A294">
        <v>5082</v>
      </c>
      <c r="B294" s="1">
        <v>45688</v>
      </c>
      <c r="C294">
        <v>1018</v>
      </c>
      <c r="D294" t="s">
        <v>46</v>
      </c>
      <c r="E294" t="s">
        <v>87</v>
      </c>
      <c r="F294" t="s">
        <v>14</v>
      </c>
      <c r="G294" t="s">
        <v>30</v>
      </c>
      <c r="H294" t="s">
        <v>31</v>
      </c>
      <c r="I294">
        <v>1</v>
      </c>
      <c r="J294">
        <v>350</v>
      </c>
      <c r="K294">
        <v>0</v>
      </c>
      <c r="L294" t="s">
        <v>43</v>
      </c>
      <c r="M294">
        <f>I294*J294*(1-K294/100)</f>
        <v>350</v>
      </c>
      <c r="N294" t="str">
        <f>TEXT(B294,"yyyy-mm")</f>
        <v>2025-01</v>
      </c>
    </row>
    <row r="295" spans="1:14" x14ac:dyDescent="0.3">
      <c r="A295">
        <v>5281</v>
      </c>
      <c r="B295" s="1">
        <v>45762</v>
      </c>
      <c r="C295">
        <v>1018</v>
      </c>
      <c r="D295" t="s">
        <v>46</v>
      </c>
      <c r="E295" t="s">
        <v>29</v>
      </c>
      <c r="F295" t="s">
        <v>14</v>
      </c>
      <c r="G295" t="s">
        <v>65</v>
      </c>
      <c r="H295" t="s">
        <v>16</v>
      </c>
      <c r="I295">
        <v>1</v>
      </c>
      <c r="J295">
        <v>12000</v>
      </c>
      <c r="K295">
        <v>5</v>
      </c>
      <c r="L295" t="s">
        <v>43</v>
      </c>
      <c r="M295">
        <f>I295*J295*(1-K295/100)</f>
        <v>11400</v>
      </c>
      <c r="N295" t="str">
        <f>TEXT(B295,"yyyy-mm")</f>
        <v>2025-04</v>
      </c>
    </row>
    <row r="296" spans="1:14" x14ac:dyDescent="0.3">
      <c r="A296">
        <v>5919</v>
      </c>
      <c r="B296" s="1">
        <v>45996</v>
      </c>
      <c r="C296">
        <v>1018</v>
      </c>
      <c r="D296" t="s">
        <v>46</v>
      </c>
      <c r="E296" t="s">
        <v>29</v>
      </c>
      <c r="F296" t="s">
        <v>14</v>
      </c>
      <c r="G296" t="s">
        <v>55</v>
      </c>
      <c r="H296" t="s">
        <v>16</v>
      </c>
      <c r="I296">
        <v>1</v>
      </c>
      <c r="J296">
        <v>2500</v>
      </c>
      <c r="K296">
        <v>10</v>
      </c>
      <c r="L296" t="s">
        <v>34</v>
      </c>
      <c r="M296">
        <f>I296*J296*(1-K296/100)</f>
        <v>2250</v>
      </c>
      <c r="N296" t="str">
        <f>TEXT(B296,"yyyy-mm")</f>
        <v>2025-12</v>
      </c>
    </row>
    <row r="297" spans="1:14" x14ac:dyDescent="0.3">
      <c r="A297">
        <v>5929</v>
      </c>
      <c r="B297" s="1">
        <v>45999</v>
      </c>
      <c r="C297">
        <v>1018</v>
      </c>
      <c r="D297" t="s">
        <v>46</v>
      </c>
      <c r="E297" t="s">
        <v>29</v>
      </c>
      <c r="F297" t="s">
        <v>14</v>
      </c>
      <c r="G297" t="s">
        <v>55</v>
      </c>
      <c r="H297" t="s">
        <v>16</v>
      </c>
      <c r="I297">
        <v>1</v>
      </c>
      <c r="J297">
        <v>2500</v>
      </c>
      <c r="K297">
        <v>5</v>
      </c>
      <c r="L297" t="s">
        <v>20</v>
      </c>
      <c r="M297">
        <f>I297*J297*(1-K297/100)</f>
        <v>2375</v>
      </c>
      <c r="N297" t="str">
        <f>TEXT(B297,"yyyy-mm")</f>
        <v>2025-12</v>
      </c>
    </row>
    <row r="298" spans="1:14" x14ac:dyDescent="0.3">
      <c r="A298">
        <v>5523</v>
      </c>
      <c r="B298" s="1">
        <v>45853</v>
      </c>
      <c r="C298">
        <v>1019</v>
      </c>
      <c r="D298" t="s">
        <v>72</v>
      </c>
      <c r="E298" t="s">
        <v>87</v>
      </c>
      <c r="F298" t="s">
        <v>14</v>
      </c>
      <c r="G298" t="s">
        <v>42</v>
      </c>
      <c r="H298" t="s">
        <v>31</v>
      </c>
      <c r="I298">
        <v>5</v>
      </c>
      <c r="J298">
        <v>200</v>
      </c>
      <c r="K298">
        <v>5</v>
      </c>
      <c r="L298" t="s">
        <v>43</v>
      </c>
      <c r="M298">
        <f>I298*J298*(1-K298/100)</f>
        <v>950</v>
      </c>
      <c r="N298" t="str">
        <f>TEXT(B298,"yyyy-mm")</f>
        <v>2025-07</v>
      </c>
    </row>
    <row r="299" spans="1:14" x14ac:dyDescent="0.3">
      <c r="A299">
        <v>5721</v>
      </c>
      <c r="B299" s="1">
        <v>45927</v>
      </c>
      <c r="C299">
        <v>1019</v>
      </c>
      <c r="D299" t="s">
        <v>72</v>
      </c>
      <c r="E299" t="s">
        <v>33</v>
      </c>
      <c r="F299" t="s">
        <v>14</v>
      </c>
      <c r="G299" t="s">
        <v>55</v>
      </c>
      <c r="H299" t="s">
        <v>16</v>
      </c>
      <c r="I299">
        <v>5</v>
      </c>
      <c r="J299">
        <v>2500</v>
      </c>
      <c r="K299">
        <v>10</v>
      </c>
      <c r="L299" t="s">
        <v>20</v>
      </c>
      <c r="M299">
        <f>I299*J299*(1-K299/100)</f>
        <v>11250</v>
      </c>
      <c r="N299" t="str">
        <f>TEXT(B299,"yyyy-mm")</f>
        <v>2025-09</v>
      </c>
    </row>
    <row r="300" spans="1:14" x14ac:dyDescent="0.3">
      <c r="A300">
        <v>5887</v>
      </c>
      <c r="B300" s="1">
        <v>45987</v>
      </c>
      <c r="C300">
        <v>1019</v>
      </c>
      <c r="D300" t="s">
        <v>72</v>
      </c>
      <c r="E300" t="s">
        <v>33</v>
      </c>
      <c r="F300" t="s">
        <v>14</v>
      </c>
      <c r="G300" t="s">
        <v>65</v>
      </c>
      <c r="H300" t="s">
        <v>16</v>
      </c>
      <c r="I300">
        <v>5</v>
      </c>
      <c r="J300">
        <v>12000</v>
      </c>
      <c r="K300">
        <v>0</v>
      </c>
      <c r="L300" t="s">
        <v>34</v>
      </c>
      <c r="M300">
        <f>I300*J300*(1-K300/100)</f>
        <v>60000</v>
      </c>
      <c r="N300" t="str">
        <f>TEXT(B300,"yyyy-mm")</f>
        <v>2025-11</v>
      </c>
    </row>
    <row r="301" spans="1:14" x14ac:dyDescent="0.3">
      <c r="A301">
        <v>5867</v>
      </c>
      <c r="B301" s="1">
        <v>45977</v>
      </c>
      <c r="C301">
        <v>1019</v>
      </c>
      <c r="D301" t="s">
        <v>72</v>
      </c>
      <c r="E301" t="s">
        <v>33</v>
      </c>
      <c r="F301" t="s">
        <v>14</v>
      </c>
      <c r="G301" t="s">
        <v>55</v>
      </c>
      <c r="H301" t="s">
        <v>16</v>
      </c>
      <c r="I301">
        <v>4</v>
      </c>
      <c r="J301">
        <v>2500</v>
      </c>
      <c r="K301">
        <v>5</v>
      </c>
      <c r="L301" t="s">
        <v>43</v>
      </c>
      <c r="M301">
        <f>I301*J301*(1-K301/100)</f>
        <v>9500</v>
      </c>
      <c r="N301" t="str">
        <f>TEXT(B301,"yyyy-mm")</f>
        <v>2025-11</v>
      </c>
    </row>
    <row r="302" spans="1:14" x14ac:dyDescent="0.3">
      <c r="A302">
        <v>5521</v>
      </c>
      <c r="B302" s="1">
        <v>45852</v>
      </c>
      <c r="C302">
        <v>1019</v>
      </c>
      <c r="D302" t="s">
        <v>72</v>
      </c>
      <c r="E302" t="s">
        <v>33</v>
      </c>
      <c r="F302" t="s">
        <v>14</v>
      </c>
      <c r="G302" t="s">
        <v>55</v>
      </c>
      <c r="H302" t="s">
        <v>16</v>
      </c>
      <c r="I302">
        <v>3</v>
      </c>
      <c r="J302">
        <v>2500</v>
      </c>
      <c r="K302">
        <v>15</v>
      </c>
      <c r="L302" t="s">
        <v>43</v>
      </c>
      <c r="M302">
        <f>I302*J302*(1-K302/100)</f>
        <v>6375</v>
      </c>
      <c r="N302" t="str">
        <f>TEXT(B302,"yyyy-mm")</f>
        <v>2025-07</v>
      </c>
    </row>
    <row r="303" spans="1:14" x14ac:dyDescent="0.3">
      <c r="A303">
        <v>5162</v>
      </c>
      <c r="B303" s="1">
        <v>45711</v>
      </c>
      <c r="C303">
        <v>1019</v>
      </c>
      <c r="D303" t="s">
        <v>72</v>
      </c>
      <c r="E303" t="s">
        <v>33</v>
      </c>
      <c r="F303" t="s">
        <v>14</v>
      </c>
      <c r="G303" t="s">
        <v>65</v>
      </c>
      <c r="H303" t="s">
        <v>16</v>
      </c>
      <c r="I303">
        <v>2</v>
      </c>
      <c r="J303">
        <v>12000</v>
      </c>
      <c r="K303">
        <v>10</v>
      </c>
      <c r="L303" t="s">
        <v>25</v>
      </c>
      <c r="M303">
        <f>I303*J303*(1-K303/100)</f>
        <v>21600</v>
      </c>
      <c r="N303" t="str">
        <f>TEXT(B303,"yyyy-mm")</f>
        <v>2025-02</v>
      </c>
    </row>
    <row r="304" spans="1:14" x14ac:dyDescent="0.3">
      <c r="A304">
        <v>5176</v>
      </c>
      <c r="B304" s="1">
        <v>45715</v>
      </c>
      <c r="C304">
        <v>1019</v>
      </c>
      <c r="D304" t="s">
        <v>72</v>
      </c>
      <c r="E304" t="s">
        <v>33</v>
      </c>
      <c r="F304" t="s">
        <v>14</v>
      </c>
      <c r="G304" t="s">
        <v>19</v>
      </c>
      <c r="H304" t="s">
        <v>16</v>
      </c>
      <c r="I304">
        <v>2</v>
      </c>
      <c r="J304">
        <v>9500</v>
      </c>
      <c r="K304">
        <v>5</v>
      </c>
      <c r="L304" t="s">
        <v>17</v>
      </c>
      <c r="M304">
        <f>I304*J304*(1-K304/100)</f>
        <v>18050</v>
      </c>
      <c r="N304" t="str">
        <f>TEXT(B304,"yyyy-mm")</f>
        <v>2025-02</v>
      </c>
    </row>
    <row r="305" spans="1:14" x14ac:dyDescent="0.3">
      <c r="A305">
        <v>5827</v>
      </c>
      <c r="B305" s="1">
        <v>45964</v>
      </c>
      <c r="C305">
        <v>1019</v>
      </c>
      <c r="D305" t="s">
        <v>72</v>
      </c>
      <c r="E305" t="s">
        <v>33</v>
      </c>
      <c r="F305" t="s">
        <v>14</v>
      </c>
      <c r="G305" t="s">
        <v>57</v>
      </c>
      <c r="H305" t="s">
        <v>38</v>
      </c>
      <c r="I305">
        <v>2</v>
      </c>
      <c r="J305">
        <v>16000</v>
      </c>
      <c r="K305">
        <v>10</v>
      </c>
      <c r="L305" t="s">
        <v>34</v>
      </c>
      <c r="M305">
        <f>I305*J305*(1-K305/100)</f>
        <v>28800</v>
      </c>
      <c r="N305" t="str">
        <f>TEXT(B305,"yyyy-mm")</f>
        <v>2025-11</v>
      </c>
    </row>
    <row r="306" spans="1:14" x14ac:dyDescent="0.3">
      <c r="A306">
        <v>5067</v>
      </c>
      <c r="B306" s="1">
        <v>45680</v>
      </c>
      <c r="C306">
        <v>1019</v>
      </c>
      <c r="D306" t="s">
        <v>72</v>
      </c>
      <c r="E306" t="s">
        <v>33</v>
      </c>
      <c r="F306" t="s">
        <v>14</v>
      </c>
      <c r="G306" t="s">
        <v>55</v>
      </c>
      <c r="H306" t="s">
        <v>16</v>
      </c>
      <c r="I306">
        <v>1</v>
      </c>
      <c r="J306">
        <v>2500</v>
      </c>
      <c r="K306">
        <v>0</v>
      </c>
      <c r="L306" t="s">
        <v>17</v>
      </c>
      <c r="M306">
        <f>I306*J306*(1-K306/100)</f>
        <v>2500</v>
      </c>
      <c r="N306" t="str">
        <f>TEXT(B306,"yyyy-mm")</f>
        <v>2025-01</v>
      </c>
    </row>
    <row r="307" spans="1:14" x14ac:dyDescent="0.3">
      <c r="A307">
        <v>5091</v>
      </c>
      <c r="B307" s="1">
        <v>45692</v>
      </c>
      <c r="C307">
        <v>1019</v>
      </c>
      <c r="D307" t="s">
        <v>72</v>
      </c>
      <c r="E307" t="s">
        <v>33</v>
      </c>
      <c r="F307" t="s">
        <v>14</v>
      </c>
      <c r="G307" t="s">
        <v>19</v>
      </c>
      <c r="H307" t="s">
        <v>16</v>
      </c>
      <c r="I307">
        <v>1</v>
      </c>
      <c r="J307">
        <v>9500</v>
      </c>
      <c r="K307">
        <v>0</v>
      </c>
      <c r="L307" t="s">
        <v>25</v>
      </c>
      <c r="M307">
        <f>I307*J307*(1-K307/100)</f>
        <v>9500</v>
      </c>
      <c r="N307" t="str">
        <f>TEXT(B307,"yyyy-mm")</f>
        <v>2025-02</v>
      </c>
    </row>
    <row r="308" spans="1:14" x14ac:dyDescent="0.3">
      <c r="A308">
        <v>5479</v>
      </c>
      <c r="B308" s="1">
        <v>45841</v>
      </c>
      <c r="C308">
        <v>1019</v>
      </c>
      <c r="D308" t="s">
        <v>72</v>
      </c>
      <c r="E308" t="s">
        <v>33</v>
      </c>
      <c r="F308" t="s">
        <v>14</v>
      </c>
      <c r="G308" t="s">
        <v>55</v>
      </c>
      <c r="H308" t="s">
        <v>16</v>
      </c>
      <c r="I308">
        <v>1</v>
      </c>
      <c r="J308">
        <v>2500</v>
      </c>
      <c r="K308">
        <v>5</v>
      </c>
      <c r="L308" t="s">
        <v>34</v>
      </c>
      <c r="M308">
        <f>I308*J308*(1-K308/100)</f>
        <v>2375</v>
      </c>
      <c r="N308" t="str">
        <f>TEXT(B308,"yyyy-mm")</f>
        <v>2025-07</v>
      </c>
    </row>
    <row r="309" spans="1:14" x14ac:dyDescent="0.3">
      <c r="A309">
        <v>5538</v>
      </c>
      <c r="B309" s="1">
        <v>45858</v>
      </c>
      <c r="C309">
        <v>1019</v>
      </c>
      <c r="D309" t="s">
        <v>72</v>
      </c>
      <c r="E309" t="s">
        <v>33</v>
      </c>
      <c r="F309" t="s">
        <v>14</v>
      </c>
      <c r="G309" t="s">
        <v>30</v>
      </c>
      <c r="H309" t="s">
        <v>31</v>
      </c>
      <c r="I309">
        <v>1</v>
      </c>
      <c r="J309">
        <v>350</v>
      </c>
      <c r="K309">
        <v>10</v>
      </c>
      <c r="L309" t="s">
        <v>17</v>
      </c>
      <c r="M309">
        <f>I309*J309*(1-K309/100)</f>
        <v>315</v>
      </c>
      <c r="N309" t="str">
        <f>TEXT(B309,"yyyy-mm")</f>
        <v>2025-07</v>
      </c>
    </row>
    <row r="310" spans="1:14" x14ac:dyDescent="0.3">
      <c r="A310">
        <v>5752</v>
      </c>
      <c r="B310" s="1">
        <v>45939</v>
      </c>
      <c r="C310">
        <v>1019</v>
      </c>
      <c r="D310" t="s">
        <v>72</v>
      </c>
      <c r="E310" t="s">
        <v>33</v>
      </c>
      <c r="F310" t="s">
        <v>14</v>
      </c>
      <c r="G310" t="s">
        <v>36</v>
      </c>
      <c r="H310" t="s">
        <v>16</v>
      </c>
      <c r="I310">
        <v>1</v>
      </c>
      <c r="J310">
        <v>55000</v>
      </c>
      <c r="K310">
        <v>10</v>
      </c>
      <c r="L310" t="s">
        <v>25</v>
      </c>
      <c r="M310">
        <f>I310*J310*(1-K310/100)</f>
        <v>49500</v>
      </c>
      <c r="N310" t="str">
        <f>TEXT(B310,"yyyy-mm")</f>
        <v>2025-10</v>
      </c>
    </row>
    <row r="311" spans="1:14" x14ac:dyDescent="0.3">
      <c r="A311">
        <v>5789</v>
      </c>
      <c r="B311" s="1">
        <v>45950</v>
      </c>
      <c r="C311">
        <v>1019</v>
      </c>
      <c r="D311" t="s">
        <v>72</v>
      </c>
      <c r="E311" t="s">
        <v>33</v>
      </c>
      <c r="F311" t="s">
        <v>14</v>
      </c>
      <c r="G311" t="s">
        <v>55</v>
      </c>
      <c r="H311" t="s">
        <v>16</v>
      </c>
      <c r="I311">
        <v>1</v>
      </c>
      <c r="J311">
        <v>2500</v>
      </c>
      <c r="K311">
        <v>0</v>
      </c>
      <c r="L311" t="s">
        <v>17</v>
      </c>
      <c r="M311">
        <f>I311*J311*(1-K311/100)</f>
        <v>2500</v>
      </c>
      <c r="N311" t="str">
        <f>TEXT(B311,"yyyy-mm")</f>
        <v>2025-10</v>
      </c>
    </row>
    <row r="312" spans="1:14" x14ac:dyDescent="0.3">
      <c r="A312">
        <v>5104</v>
      </c>
      <c r="B312" s="1">
        <v>45696</v>
      </c>
      <c r="C312">
        <v>1020</v>
      </c>
      <c r="D312" t="s">
        <v>77</v>
      </c>
      <c r="E312" t="s">
        <v>33</v>
      </c>
      <c r="F312" t="s">
        <v>23</v>
      </c>
      <c r="G312" t="s">
        <v>30</v>
      </c>
      <c r="H312" t="s">
        <v>31</v>
      </c>
      <c r="I312">
        <v>5</v>
      </c>
      <c r="J312">
        <v>350</v>
      </c>
      <c r="K312">
        <v>0</v>
      </c>
      <c r="L312" t="s">
        <v>20</v>
      </c>
      <c r="M312">
        <f>I312*J312*(1-K312/100)</f>
        <v>1750</v>
      </c>
      <c r="N312" t="str">
        <f>TEXT(B312,"yyyy-mm")</f>
        <v>2025-02</v>
      </c>
    </row>
    <row r="313" spans="1:14" x14ac:dyDescent="0.3">
      <c r="A313">
        <v>5716</v>
      </c>
      <c r="B313" s="1">
        <v>45926</v>
      </c>
      <c r="C313">
        <v>1020</v>
      </c>
      <c r="D313" t="s">
        <v>77</v>
      </c>
      <c r="E313" t="s">
        <v>33</v>
      </c>
      <c r="F313" t="s">
        <v>23</v>
      </c>
      <c r="G313" t="s">
        <v>19</v>
      </c>
      <c r="H313" t="s">
        <v>16</v>
      </c>
      <c r="I313">
        <v>5</v>
      </c>
      <c r="J313">
        <v>9500</v>
      </c>
      <c r="K313">
        <v>0</v>
      </c>
      <c r="L313" t="s">
        <v>43</v>
      </c>
      <c r="M313">
        <f>I313*J313*(1-K313/100)</f>
        <v>47500</v>
      </c>
      <c r="N313" t="str">
        <f>TEXT(B313,"yyyy-mm")</f>
        <v>2025-09</v>
      </c>
    </row>
    <row r="314" spans="1:14" x14ac:dyDescent="0.3">
      <c r="A314">
        <v>5983</v>
      </c>
      <c r="B314" s="1">
        <v>46016</v>
      </c>
      <c r="C314">
        <v>1020</v>
      </c>
      <c r="D314" t="s">
        <v>77</v>
      </c>
      <c r="E314" t="s">
        <v>33</v>
      </c>
      <c r="F314" t="s">
        <v>23</v>
      </c>
      <c r="G314" t="s">
        <v>65</v>
      </c>
      <c r="H314" t="s">
        <v>16</v>
      </c>
      <c r="I314">
        <v>5</v>
      </c>
      <c r="J314">
        <v>12000</v>
      </c>
      <c r="K314">
        <v>5</v>
      </c>
      <c r="L314" t="s">
        <v>43</v>
      </c>
      <c r="M314">
        <f>I314*J314*(1-K314/100)</f>
        <v>57000</v>
      </c>
      <c r="N314" t="str">
        <f>TEXT(B314,"yyyy-mm")</f>
        <v>2025-12</v>
      </c>
    </row>
    <row r="315" spans="1:14" x14ac:dyDescent="0.3">
      <c r="A315">
        <v>5992</v>
      </c>
      <c r="B315" s="1">
        <v>46020</v>
      </c>
      <c r="C315">
        <v>1020</v>
      </c>
      <c r="D315" t="s">
        <v>77</v>
      </c>
      <c r="E315" t="s">
        <v>33</v>
      </c>
      <c r="F315" t="s">
        <v>23</v>
      </c>
      <c r="G315" t="s">
        <v>37</v>
      </c>
      <c r="H315" t="s">
        <v>38</v>
      </c>
      <c r="I315">
        <v>5</v>
      </c>
      <c r="J315">
        <v>7500</v>
      </c>
      <c r="K315">
        <v>0</v>
      </c>
      <c r="L315" t="s">
        <v>20</v>
      </c>
      <c r="M315">
        <f>I315*J315*(1-K315/100)</f>
        <v>37500</v>
      </c>
      <c r="N315" t="str">
        <f>TEXT(B315,"yyyy-mm")</f>
        <v>2025-12</v>
      </c>
    </row>
    <row r="316" spans="1:14" x14ac:dyDescent="0.3">
      <c r="A316">
        <v>5204</v>
      </c>
      <c r="B316" s="1">
        <v>45728</v>
      </c>
      <c r="C316">
        <v>1020</v>
      </c>
      <c r="D316" t="s">
        <v>77</v>
      </c>
      <c r="E316" t="s">
        <v>33</v>
      </c>
      <c r="F316" t="s">
        <v>23</v>
      </c>
      <c r="G316" t="s">
        <v>55</v>
      </c>
      <c r="H316" t="s">
        <v>16</v>
      </c>
      <c r="I316">
        <v>4</v>
      </c>
      <c r="J316">
        <v>2500</v>
      </c>
      <c r="K316">
        <v>0</v>
      </c>
      <c r="L316" t="s">
        <v>34</v>
      </c>
      <c r="M316">
        <f>I316*J316*(1-K316/100)</f>
        <v>10000</v>
      </c>
      <c r="N316" t="str">
        <f>TEXT(B316,"yyyy-mm")</f>
        <v>2025-03</v>
      </c>
    </row>
    <row r="317" spans="1:14" x14ac:dyDescent="0.3">
      <c r="A317">
        <v>5276</v>
      </c>
      <c r="B317" s="1">
        <v>45760</v>
      </c>
      <c r="C317">
        <v>1020</v>
      </c>
      <c r="D317" t="s">
        <v>77</v>
      </c>
      <c r="E317" t="s">
        <v>33</v>
      </c>
      <c r="F317" t="s">
        <v>23</v>
      </c>
      <c r="G317" t="s">
        <v>52</v>
      </c>
      <c r="H317" t="s">
        <v>16</v>
      </c>
      <c r="I317">
        <v>4</v>
      </c>
      <c r="J317">
        <v>6000</v>
      </c>
      <c r="K317">
        <v>5</v>
      </c>
      <c r="L317" t="s">
        <v>43</v>
      </c>
      <c r="M317">
        <f>I317*J317*(1-K317/100)</f>
        <v>22800</v>
      </c>
      <c r="N317" t="str">
        <f>TEXT(B317,"yyyy-mm")</f>
        <v>2025-04</v>
      </c>
    </row>
    <row r="318" spans="1:14" x14ac:dyDescent="0.3">
      <c r="A318">
        <v>5286</v>
      </c>
      <c r="B318" s="1">
        <v>45763</v>
      </c>
      <c r="C318">
        <v>1020</v>
      </c>
      <c r="D318" t="s">
        <v>77</v>
      </c>
      <c r="E318" t="s">
        <v>33</v>
      </c>
      <c r="F318" t="s">
        <v>23</v>
      </c>
      <c r="G318" t="s">
        <v>65</v>
      </c>
      <c r="H318" t="s">
        <v>16</v>
      </c>
      <c r="I318">
        <v>4</v>
      </c>
      <c r="J318">
        <v>12000</v>
      </c>
      <c r="K318">
        <v>0</v>
      </c>
      <c r="L318" t="s">
        <v>43</v>
      </c>
      <c r="M318">
        <f>I318*J318*(1-K318/100)</f>
        <v>48000</v>
      </c>
      <c r="N318" t="str">
        <f>TEXT(B318,"yyyy-mm")</f>
        <v>2025-04</v>
      </c>
    </row>
    <row r="319" spans="1:14" x14ac:dyDescent="0.3">
      <c r="A319">
        <v>5304</v>
      </c>
      <c r="B319" s="1">
        <v>45771</v>
      </c>
      <c r="C319">
        <v>1020</v>
      </c>
      <c r="D319" t="s">
        <v>77</v>
      </c>
      <c r="E319" t="s">
        <v>33</v>
      </c>
      <c r="F319" t="s">
        <v>23</v>
      </c>
      <c r="G319" t="s">
        <v>65</v>
      </c>
      <c r="H319" t="s">
        <v>16</v>
      </c>
      <c r="I319">
        <v>4</v>
      </c>
      <c r="J319">
        <v>12000</v>
      </c>
      <c r="K319">
        <v>15</v>
      </c>
      <c r="L319" t="s">
        <v>20</v>
      </c>
      <c r="M319">
        <f>I319*J319*(1-K319/100)</f>
        <v>40800</v>
      </c>
      <c r="N319" t="str">
        <f>TEXT(B319,"yyyy-mm")</f>
        <v>2025-04</v>
      </c>
    </row>
    <row r="320" spans="1:14" x14ac:dyDescent="0.3">
      <c r="A320">
        <v>5456</v>
      </c>
      <c r="B320" s="1">
        <v>45832</v>
      </c>
      <c r="C320">
        <v>1020</v>
      </c>
      <c r="D320" t="s">
        <v>77</v>
      </c>
      <c r="E320" t="s">
        <v>33</v>
      </c>
      <c r="F320" t="s">
        <v>23</v>
      </c>
      <c r="G320" t="s">
        <v>55</v>
      </c>
      <c r="H320" t="s">
        <v>16</v>
      </c>
      <c r="I320">
        <v>4</v>
      </c>
      <c r="J320">
        <v>2500</v>
      </c>
      <c r="K320">
        <v>5</v>
      </c>
      <c r="L320" t="s">
        <v>25</v>
      </c>
      <c r="M320">
        <f>I320*J320*(1-K320/100)</f>
        <v>9500</v>
      </c>
      <c r="N320" t="str">
        <f>TEXT(B320,"yyyy-mm")</f>
        <v>2025-06</v>
      </c>
    </row>
    <row r="321" spans="1:14" x14ac:dyDescent="0.3">
      <c r="A321">
        <v>5615</v>
      </c>
      <c r="B321" s="1">
        <v>45889</v>
      </c>
      <c r="C321">
        <v>1020</v>
      </c>
      <c r="D321" t="s">
        <v>77</v>
      </c>
      <c r="E321" t="s">
        <v>33</v>
      </c>
      <c r="F321" t="s">
        <v>23</v>
      </c>
      <c r="G321" t="s">
        <v>24</v>
      </c>
      <c r="H321" t="s">
        <v>16</v>
      </c>
      <c r="I321">
        <v>4</v>
      </c>
      <c r="J321">
        <v>22000</v>
      </c>
      <c r="K321">
        <v>0</v>
      </c>
      <c r="L321" t="s">
        <v>43</v>
      </c>
      <c r="M321">
        <f>I321*J321*(1-K321/100)</f>
        <v>88000</v>
      </c>
      <c r="N321" t="str">
        <f>TEXT(B321,"yyyy-mm")</f>
        <v>2025-08</v>
      </c>
    </row>
    <row r="322" spans="1:14" x14ac:dyDescent="0.3">
      <c r="A322">
        <v>5830</v>
      </c>
      <c r="B322" s="1">
        <v>45964</v>
      </c>
      <c r="C322">
        <v>1020</v>
      </c>
      <c r="D322" t="s">
        <v>77</v>
      </c>
      <c r="E322" t="s">
        <v>33</v>
      </c>
      <c r="F322" t="s">
        <v>23</v>
      </c>
      <c r="G322" t="s">
        <v>55</v>
      </c>
      <c r="H322" t="s">
        <v>16</v>
      </c>
      <c r="I322">
        <v>4</v>
      </c>
      <c r="J322">
        <v>2500</v>
      </c>
      <c r="K322">
        <v>5</v>
      </c>
      <c r="L322" t="s">
        <v>43</v>
      </c>
      <c r="M322">
        <f>I322*J322*(1-K322/100)</f>
        <v>9500</v>
      </c>
      <c r="N322" t="str">
        <f>TEXT(B322,"yyyy-mm")</f>
        <v>2025-11</v>
      </c>
    </row>
    <row r="323" spans="1:14" x14ac:dyDescent="0.3">
      <c r="A323">
        <v>5852</v>
      </c>
      <c r="B323" s="1">
        <v>45969</v>
      </c>
      <c r="C323">
        <v>1020</v>
      </c>
      <c r="D323" t="s">
        <v>77</v>
      </c>
      <c r="E323" t="s">
        <v>33</v>
      </c>
      <c r="F323" t="s">
        <v>23</v>
      </c>
      <c r="G323" t="s">
        <v>37</v>
      </c>
      <c r="H323" t="s">
        <v>38</v>
      </c>
      <c r="I323">
        <v>4</v>
      </c>
      <c r="J323">
        <v>7500</v>
      </c>
      <c r="K323">
        <v>5</v>
      </c>
      <c r="L323" t="s">
        <v>34</v>
      </c>
      <c r="M323">
        <f>I323*J323*(1-K323/100)</f>
        <v>28500</v>
      </c>
      <c r="N323" t="str">
        <f>TEXT(B323,"yyyy-mm")</f>
        <v>2025-11</v>
      </c>
    </row>
    <row r="324" spans="1:14" x14ac:dyDescent="0.3">
      <c r="A324">
        <v>5135</v>
      </c>
      <c r="B324" s="1">
        <v>45704</v>
      </c>
      <c r="C324">
        <v>1020</v>
      </c>
      <c r="D324" t="s">
        <v>77</v>
      </c>
      <c r="E324" t="s">
        <v>33</v>
      </c>
      <c r="F324" t="s">
        <v>23</v>
      </c>
      <c r="G324" t="s">
        <v>65</v>
      </c>
      <c r="H324" t="s">
        <v>16</v>
      </c>
      <c r="I324">
        <v>3</v>
      </c>
      <c r="J324">
        <v>12000</v>
      </c>
      <c r="K324">
        <v>0</v>
      </c>
      <c r="L324" t="s">
        <v>34</v>
      </c>
      <c r="M324">
        <f>I324*J324*(1-K324/100)</f>
        <v>36000</v>
      </c>
      <c r="N324" t="str">
        <f>TEXT(B324,"yyyy-mm")</f>
        <v>2025-02</v>
      </c>
    </row>
    <row r="325" spans="1:14" x14ac:dyDescent="0.3">
      <c r="A325">
        <v>5972</v>
      </c>
      <c r="B325" s="1">
        <v>46012</v>
      </c>
      <c r="C325">
        <v>1020</v>
      </c>
      <c r="D325" t="s">
        <v>77</v>
      </c>
      <c r="E325" t="s">
        <v>33</v>
      </c>
      <c r="F325" t="s">
        <v>23</v>
      </c>
      <c r="G325" t="s">
        <v>36</v>
      </c>
      <c r="H325" t="s">
        <v>16</v>
      </c>
      <c r="I325">
        <v>3</v>
      </c>
      <c r="J325">
        <v>55000</v>
      </c>
      <c r="K325">
        <v>0</v>
      </c>
      <c r="L325" t="s">
        <v>43</v>
      </c>
      <c r="M325">
        <f>I325*J325*(1-K325/100)</f>
        <v>165000</v>
      </c>
      <c r="N325" t="str">
        <f>TEXT(B325,"yyyy-mm")</f>
        <v>2025-12</v>
      </c>
    </row>
    <row r="326" spans="1:14" x14ac:dyDescent="0.3">
      <c r="A326">
        <v>5139</v>
      </c>
      <c r="B326" s="1">
        <v>45705</v>
      </c>
      <c r="C326">
        <v>1020</v>
      </c>
      <c r="D326" t="s">
        <v>77</v>
      </c>
      <c r="E326" t="s">
        <v>33</v>
      </c>
      <c r="F326" t="s">
        <v>23</v>
      </c>
      <c r="G326" t="s">
        <v>37</v>
      </c>
      <c r="H326" t="s">
        <v>38</v>
      </c>
      <c r="I326">
        <v>2</v>
      </c>
      <c r="J326">
        <v>7500</v>
      </c>
      <c r="K326">
        <v>15</v>
      </c>
      <c r="L326" t="s">
        <v>34</v>
      </c>
      <c r="M326">
        <f>I326*J326*(1-K326/100)</f>
        <v>12750</v>
      </c>
      <c r="N326" t="str">
        <f>TEXT(B326,"yyyy-mm")</f>
        <v>2025-02</v>
      </c>
    </row>
    <row r="327" spans="1:14" x14ac:dyDescent="0.3">
      <c r="A327">
        <v>5194</v>
      </c>
      <c r="B327" s="1">
        <v>45723</v>
      </c>
      <c r="C327">
        <v>1020</v>
      </c>
      <c r="D327" t="s">
        <v>77</v>
      </c>
      <c r="E327" t="s">
        <v>33</v>
      </c>
      <c r="F327" t="s">
        <v>23</v>
      </c>
      <c r="G327" t="s">
        <v>30</v>
      </c>
      <c r="H327" t="s">
        <v>31</v>
      </c>
      <c r="I327">
        <v>2</v>
      </c>
      <c r="J327">
        <v>350</v>
      </c>
      <c r="K327">
        <v>0</v>
      </c>
      <c r="L327" t="s">
        <v>20</v>
      </c>
      <c r="M327">
        <f>I327*J327*(1-K327/100)</f>
        <v>700</v>
      </c>
      <c r="N327" t="str">
        <f>TEXT(B327,"yyyy-mm")</f>
        <v>2025-03</v>
      </c>
    </row>
    <row r="328" spans="1:14" x14ac:dyDescent="0.3">
      <c r="A328">
        <v>5477</v>
      </c>
      <c r="B328" s="1">
        <v>45841</v>
      </c>
      <c r="C328">
        <v>1020</v>
      </c>
      <c r="D328" t="s">
        <v>77</v>
      </c>
      <c r="E328" t="s">
        <v>33</v>
      </c>
      <c r="F328" t="s">
        <v>23</v>
      </c>
      <c r="G328" t="s">
        <v>52</v>
      </c>
      <c r="H328" t="s">
        <v>16</v>
      </c>
      <c r="I328">
        <v>2</v>
      </c>
      <c r="J328">
        <v>6000</v>
      </c>
      <c r="K328">
        <v>0</v>
      </c>
      <c r="L328" t="s">
        <v>25</v>
      </c>
      <c r="M328">
        <f>I328*J328*(1-K328/100)</f>
        <v>12000</v>
      </c>
      <c r="N328" t="str">
        <f>TEXT(B328,"yyyy-mm")</f>
        <v>2025-07</v>
      </c>
    </row>
    <row r="329" spans="1:14" x14ac:dyDescent="0.3">
      <c r="A329">
        <v>5650</v>
      </c>
      <c r="B329" s="1">
        <v>45900</v>
      </c>
      <c r="C329">
        <v>1020</v>
      </c>
      <c r="D329" t="s">
        <v>77</v>
      </c>
      <c r="E329" t="s">
        <v>33</v>
      </c>
      <c r="F329" t="s">
        <v>23</v>
      </c>
      <c r="G329" t="s">
        <v>30</v>
      </c>
      <c r="H329" t="s">
        <v>31</v>
      </c>
      <c r="I329">
        <v>2</v>
      </c>
      <c r="J329">
        <v>350</v>
      </c>
      <c r="K329">
        <v>0</v>
      </c>
      <c r="L329" t="s">
        <v>43</v>
      </c>
      <c r="M329">
        <f>I329*J329*(1-K329/100)</f>
        <v>700</v>
      </c>
      <c r="N329" t="str">
        <f>TEXT(B329,"yyyy-mm")</f>
        <v>2025-08</v>
      </c>
    </row>
    <row r="330" spans="1:14" x14ac:dyDescent="0.3">
      <c r="A330">
        <v>5792</v>
      </c>
      <c r="B330" s="1">
        <v>45951</v>
      </c>
      <c r="C330">
        <v>1020</v>
      </c>
      <c r="D330" t="s">
        <v>77</v>
      </c>
      <c r="E330" t="s">
        <v>33</v>
      </c>
      <c r="F330" t="s">
        <v>23</v>
      </c>
      <c r="G330" t="s">
        <v>37</v>
      </c>
      <c r="H330" t="s">
        <v>38</v>
      </c>
      <c r="I330">
        <v>2</v>
      </c>
      <c r="J330">
        <v>7500</v>
      </c>
      <c r="K330">
        <v>0</v>
      </c>
      <c r="L330" t="s">
        <v>20</v>
      </c>
      <c r="M330">
        <f>I330*J330*(1-K330/100)</f>
        <v>15000</v>
      </c>
      <c r="N330" t="str">
        <f>TEXT(B330,"yyyy-mm")</f>
        <v>2025-10</v>
      </c>
    </row>
    <row r="331" spans="1:14" x14ac:dyDescent="0.3">
      <c r="A331">
        <v>5088</v>
      </c>
      <c r="B331" s="1">
        <v>45691</v>
      </c>
      <c r="C331">
        <v>1020</v>
      </c>
      <c r="D331" t="s">
        <v>77</v>
      </c>
      <c r="E331" t="s">
        <v>33</v>
      </c>
      <c r="F331" t="s">
        <v>23</v>
      </c>
      <c r="G331" t="s">
        <v>37</v>
      </c>
      <c r="H331" t="s">
        <v>38</v>
      </c>
      <c r="I331">
        <v>1</v>
      </c>
      <c r="J331">
        <v>7500</v>
      </c>
      <c r="K331">
        <v>0</v>
      </c>
      <c r="L331" t="s">
        <v>34</v>
      </c>
      <c r="M331">
        <f>I331*J331*(1-K331/100)</f>
        <v>7500</v>
      </c>
      <c r="N331" t="str">
        <f>TEXT(B331,"yyyy-mm")</f>
        <v>2025-02</v>
      </c>
    </row>
    <row r="332" spans="1:14" x14ac:dyDescent="0.3">
      <c r="A332">
        <v>5227</v>
      </c>
      <c r="B332" s="1">
        <v>45742</v>
      </c>
      <c r="C332">
        <v>1020</v>
      </c>
      <c r="D332" t="s">
        <v>77</v>
      </c>
      <c r="E332" t="s">
        <v>33</v>
      </c>
      <c r="F332" t="s">
        <v>23</v>
      </c>
      <c r="G332" t="s">
        <v>42</v>
      </c>
      <c r="H332" t="s">
        <v>31</v>
      </c>
      <c r="I332">
        <v>1</v>
      </c>
      <c r="J332">
        <v>200</v>
      </c>
      <c r="K332">
        <v>0</v>
      </c>
      <c r="L332" t="s">
        <v>20</v>
      </c>
      <c r="M332">
        <f>I332*J332*(1-K332/100)</f>
        <v>200</v>
      </c>
      <c r="N332" t="str">
        <f>TEXT(B332,"yyyy-mm")</f>
        <v>2025-03</v>
      </c>
    </row>
    <row r="333" spans="1:14" x14ac:dyDescent="0.3">
      <c r="A333">
        <v>5605</v>
      </c>
      <c r="B333" s="1">
        <v>45885</v>
      </c>
      <c r="C333">
        <v>1020</v>
      </c>
      <c r="D333" t="s">
        <v>77</v>
      </c>
      <c r="E333" t="s">
        <v>33</v>
      </c>
      <c r="F333" t="s">
        <v>23</v>
      </c>
      <c r="G333" t="s">
        <v>52</v>
      </c>
      <c r="H333" t="s">
        <v>16</v>
      </c>
      <c r="I333">
        <v>1</v>
      </c>
      <c r="J333">
        <v>6000</v>
      </c>
      <c r="K333">
        <v>0</v>
      </c>
      <c r="L333" t="s">
        <v>17</v>
      </c>
      <c r="M333">
        <f>I333*J333*(1-K333/100)</f>
        <v>6000</v>
      </c>
      <c r="N333" t="str">
        <f>TEXT(B333,"yyyy-mm")</f>
        <v>2025-08</v>
      </c>
    </row>
    <row r="334" spans="1:14" x14ac:dyDescent="0.3">
      <c r="A334">
        <v>5769</v>
      </c>
      <c r="B334" s="1">
        <v>45944</v>
      </c>
      <c r="C334">
        <v>1020</v>
      </c>
      <c r="D334" t="s">
        <v>77</v>
      </c>
      <c r="E334" t="s">
        <v>33</v>
      </c>
      <c r="F334" t="s">
        <v>23</v>
      </c>
      <c r="G334" t="s">
        <v>30</v>
      </c>
      <c r="H334" t="s">
        <v>31</v>
      </c>
      <c r="I334">
        <v>1</v>
      </c>
      <c r="J334">
        <v>350</v>
      </c>
      <c r="K334">
        <v>0</v>
      </c>
      <c r="L334" t="s">
        <v>25</v>
      </c>
      <c r="M334">
        <f>I334*J334*(1-K334/100)</f>
        <v>350</v>
      </c>
      <c r="N334" t="str">
        <f>TEXT(B334,"yyyy-mm")</f>
        <v>2025-10</v>
      </c>
    </row>
    <row r="335" spans="1:14" x14ac:dyDescent="0.3">
      <c r="A335">
        <v>5783</v>
      </c>
      <c r="B335" s="1">
        <v>45950</v>
      </c>
      <c r="C335">
        <v>1020</v>
      </c>
      <c r="D335" t="s">
        <v>77</v>
      </c>
      <c r="E335" t="s">
        <v>33</v>
      </c>
      <c r="F335" t="s">
        <v>23</v>
      </c>
      <c r="G335" t="s">
        <v>40</v>
      </c>
      <c r="H335" t="s">
        <v>38</v>
      </c>
      <c r="I335">
        <v>1</v>
      </c>
      <c r="J335">
        <v>900</v>
      </c>
      <c r="K335">
        <v>15</v>
      </c>
      <c r="L335" t="s">
        <v>34</v>
      </c>
      <c r="M335">
        <f>I335*J335*(1-K335/100)</f>
        <v>765</v>
      </c>
      <c r="N335" t="str">
        <f>TEXT(B335,"yyyy-mm")</f>
        <v>2025-10</v>
      </c>
    </row>
    <row r="336" spans="1:14" x14ac:dyDescent="0.3">
      <c r="A336">
        <v>5851</v>
      </c>
      <c r="B336" s="1">
        <v>45969</v>
      </c>
      <c r="C336">
        <v>1020</v>
      </c>
      <c r="D336" t="s">
        <v>77</v>
      </c>
      <c r="E336" t="s">
        <v>33</v>
      </c>
      <c r="F336" t="s">
        <v>23</v>
      </c>
      <c r="G336" t="s">
        <v>19</v>
      </c>
      <c r="H336" t="s">
        <v>16</v>
      </c>
      <c r="I336">
        <v>1</v>
      </c>
      <c r="J336">
        <v>9500</v>
      </c>
      <c r="K336">
        <v>0</v>
      </c>
      <c r="L336" t="s">
        <v>25</v>
      </c>
      <c r="M336">
        <f>I336*J336*(1-K336/100)</f>
        <v>9500</v>
      </c>
      <c r="N336" t="str">
        <f>TEXT(B336,"yyyy-mm")</f>
        <v>2025-11</v>
      </c>
    </row>
    <row r="337" spans="1:14" x14ac:dyDescent="0.3">
      <c r="A337">
        <v>5971</v>
      </c>
      <c r="B337" s="1">
        <v>46011</v>
      </c>
      <c r="C337">
        <v>1020</v>
      </c>
      <c r="D337" t="s">
        <v>77</v>
      </c>
      <c r="E337" t="s">
        <v>33</v>
      </c>
      <c r="F337" t="s">
        <v>23</v>
      </c>
      <c r="G337" t="s">
        <v>55</v>
      </c>
      <c r="H337" t="s">
        <v>16</v>
      </c>
      <c r="I337">
        <v>1</v>
      </c>
      <c r="J337">
        <v>2500</v>
      </c>
      <c r="K337">
        <v>5</v>
      </c>
      <c r="L337" t="s">
        <v>20</v>
      </c>
      <c r="M337">
        <f>I337*J337*(1-K337/100)</f>
        <v>2375</v>
      </c>
      <c r="N337" t="str">
        <f>TEXT(B337,"yyyy-mm")</f>
        <v>2025-12</v>
      </c>
    </row>
    <row r="338" spans="1:14" x14ac:dyDescent="0.3">
      <c r="A338">
        <v>5012</v>
      </c>
      <c r="B338" s="1">
        <v>45660</v>
      </c>
      <c r="C338">
        <v>1021</v>
      </c>
      <c r="D338" t="s">
        <v>21</v>
      </c>
      <c r="E338" t="s">
        <v>13</v>
      </c>
      <c r="F338" t="s">
        <v>14</v>
      </c>
      <c r="G338" t="s">
        <v>42</v>
      </c>
      <c r="H338" t="s">
        <v>31</v>
      </c>
      <c r="I338">
        <v>5</v>
      </c>
      <c r="J338">
        <v>200</v>
      </c>
      <c r="K338">
        <v>0</v>
      </c>
      <c r="L338" t="s">
        <v>43</v>
      </c>
      <c r="M338">
        <f>I338*J338*(1-K338/100)</f>
        <v>1000</v>
      </c>
      <c r="N338" t="str">
        <f>TEXT(B338,"yyyy-mm")</f>
        <v>2025-01</v>
      </c>
    </row>
    <row r="339" spans="1:14" x14ac:dyDescent="0.3">
      <c r="A339">
        <v>5030</v>
      </c>
      <c r="B339" s="1">
        <v>45667</v>
      </c>
      <c r="C339">
        <v>1021</v>
      </c>
      <c r="D339" t="s">
        <v>21</v>
      </c>
      <c r="E339" t="s">
        <v>13</v>
      </c>
      <c r="F339" t="s">
        <v>14</v>
      </c>
      <c r="G339" t="s">
        <v>55</v>
      </c>
      <c r="H339" t="s">
        <v>16</v>
      </c>
      <c r="I339">
        <v>5</v>
      </c>
      <c r="J339">
        <v>2500</v>
      </c>
      <c r="K339">
        <v>0</v>
      </c>
      <c r="L339" t="s">
        <v>20</v>
      </c>
      <c r="M339">
        <f>I339*J339*(1-K339/100)</f>
        <v>12500</v>
      </c>
      <c r="N339" t="str">
        <f>TEXT(B339,"yyyy-mm")</f>
        <v>2025-01</v>
      </c>
    </row>
    <row r="340" spans="1:14" x14ac:dyDescent="0.3">
      <c r="A340">
        <v>5057</v>
      </c>
      <c r="B340" s="1">
        <v>45676</v>
      </c>
      <c r="C340">
        <v>1021</v>
      </c>
      <c r="D340" t="s">
        <v>21</v>
      </c>
      <c r="E340" t="s">
        <v>13</v>
      </c>
      <c r="F340" t="s">
        <v>14</v>
      </c>
      <c r="G340" t="s">
        <v>30</v>
      </c>
      <c r="H340" t="s">
        <v>31</v>
      </c>
      <c r="I340">
        <v>5</v>
      </c>
      <c r="J340">
        <v>350</v>
      </c>
      <c r="K340">
        <v>10</v>
      </c>
      <c r="L340" t="s">
        <v>20</v>
      </c>
      <c r="M340">
        <f>I340*J340*(1-K340/100)</f>
        <v>1575</v>
      </c>
      <c r="N340" t="str">
        <f>TEXT(B340,"yyyy-mm")</f>
        <v>2025-01</v>
      </c>
    </row>
    <row r="341" spans="1:14" x14ac:dyDescent="0.3">
      <c r="A341">
        <v>5493</v>
      </c>
      <c r="B341" s="1">
        <v>45845</v>
      </c>
      <c r="C341">
        <v>1021</v>
      </c>
      <c r="D341" t="s">
        <v>21</v>
      </c>
      <c r="E341" t="s">
        <v>13</v>
      </c>
      <c r="F341" t="s">
        <v>14</v>
      </c>
      <c r="G341" t="s">
        <v>57</v>
      </c>
      <c r="H341" t="s">
        <v>38</v>
      </c>
      <c r="I341">
        <v>5</v>
      </c>
      <c r="J341">
        <v>16000</v>
      </c>
      <c r="K341">
        <v>15</v>
      </c>
      <c r="L341" t="s">
        <v>17</v>
      </c>
      <c r="M341">
        <f>I341*J341*(1-K341/100)</f>
        <v>68000</v>
      </c>
      <c r="N341" t="str">
        <f>TEXT(B341,"yyyy-mm")</f>
        <v>2025-07</v>
      </c>
    </row>
    <row r="342" spans="1:14" x14ac:dyDescent="0.3">
      <c r="A342">
        <v>5860</v>
      </c>
      <c r="B342" s="1">
        <v>45973</v>
      </c>
      <c r="C342">
        <v>1021</v>
      </c>
      <c r="D342" t="s">
        <v>21</v>
      </c>
      <c r="E342" t="s">
        <v>13</v>
      </c>
      <c r="F342" t="s">
        <v>14</v>
      </c>
      <c r="G342" t="s">
        <v>42</v>
      </c>
      <c r="H342" t="s">
        <v>31</v>
      </c>
      <c r="I342">
        <v>5</v>
      </c>
      <c r="J342">
        <v>200</v>
      </c>
      <c r="K342">
        <v>0</v>
      </c>
      <c r="L342" t="s">
        <v>34</v>
      </c>
      <c r="M342">
        <f>I342*J342*(1-K342/100)</f>
        <v>1000</v>
      </c>
      <c r="N342" t="str">
        <f>TEXT(B342,"yyyy-mm")</f>
        <v>2025-11</v>
      </c>
    </row>
    <row r="343" spans="1:14" x14ac:dyDescent="0.3">
      <c r="A343">
        <v>5347</v>
      </c>
      <c r="B343" s="1">
        <v>45790</v>
      </c>
      <c r="C343">
        <v>1021</v>
      </c>
      <c r="D343" t="s">
        <v>21</v>
      </c>
      <c r="E343" t="s">
        <v>13</v>
      </c>
      <c r="F343" t="s">
        <v>14</v>
      </c>
      <c r="G343" t="s">
        <v>19</v>
      </c>
      <c r="H343" t="s">
        <v>16</v>
      </c>
      <c r="I343">
        <v>4</v>
      </c>
      <c r="J343">
        <v>9500</v>
      </c>
      <c r="K343">
        <v>5</v>
      </c>
      <c r="L343" t="s">
        <v>34</v>
      </c>
      <c r="M343">
        <f>I343*J343*(1-K343/100)</f>
        <v>36100</v>
      </c>
      <c r="N343" t="str">
        <f>TEXT(B343,"yyyy-mm")</f>
        <v>2025-05</v>
      </c>
    </row>
    <row r="344" spans="1:14" x14ac:dyDescent="0.3">
      <c r="A344">
        <v>5674</v>
      </c>
      <c r="B344" s="1">
        <v>45911</v>
      </c>
      <c r="C344">
        <v>1021</v>
      </c>
      <c r="D344" t="s">
        <v>21</v>
      </c>
      <c r="E344" t="s">
        <v>13</v>
      </c>
      <c r="F344" t="s">
        <v>14</v>
      </c>
      <c r="G344" t="s">
        <v>30</v>
      </c>
      <c r="H344" t="s">
        <v>31</v>
      </c>
      <c r="I344">
        <v>4</v>
      </c>
      <c r="J344">
        <v>350</v>
      </c>
      <c r="K344">
        <v>0</v>
      </c>
      <c r="L344" t="s">
        <v>20</v>
      </c>
      <c r="M344">
        <f>I344*J344*(1-K344/100)</f>
        <v>1400</v>
      </c>
      <c r="N344" t="str">
        <f>TEXT(B344,"yyyy-mm")</f>
        <v>2025-09</v>
      </c>
    </row>
    <row r="345" spans="1:14" x14ac:dyDescent="0.3">
      <c r="A345">
        <v>5774</v>
      </c>
      <c r="B345" s="1">
        <v>45947</v>
      </c>
      <c r="C345">
        <v>1021</v>
      </c>
      <c r="D345" t="s">
        <v>21</v>
      </c>
      <c r="E345" t="s">
        <v>13</v>
      </c>
      <c r="F345" t="s">
        <v>14</v>
      </c>
      <c r="G345" t="s">
        <v>52</v>
      </c>
      <c r="H345" t="s">
        <v>16</v>
      </c>
      <c r="I345">
        <v>4</v>
      </c>
      <c r="J345">
        <v>6000</v>
      </c>
      <c r="K345">
        <v>0</v>
      </c>
      <c r="L345" t="s">
        <v>20</v>
      </c>
      <c r="M345">
        <f>I345*J345*(1-K345/100)</f>
        <v>24000</v>
      </c>
      <c r="N345" t="str">
        <f>TEXT(B345,"yyyy-mm")</f>
        <v>2025-10</v>
      </c>
    </row>
    <row r="346" spans="1:14" x14ac:dyDescent="0.3">
      <c r="A346">
        <v>5904</v>
      </c>
      <c r="B346" s="1">
        <v>45993</v>
      </c>
      <c r="C346">
        <v>1021</v>
      </c>
      <c r="D346" t="s">
        <v>21</v>
      </c>
      <c r="E346" t="s">
        <v>13</v>
      </c>
      <c r="F346" t="s">
        <v>14</v>
      </c>
      <c r="G346" t="s">
        <v>19</v>
      </c>
      <c r="H346" t="s">
        <v>16</v>
      </c>
      <c r="I346">
        <v>4</v>
      </c>
      <c r="J346">
        <v>9500</v>
      </c>
      <c r="K346">
        <v>0</v>
      </c>
      <c r="L346" t="s">
        <v>17</v>
      </c>
      <c r="M346">
        <f>I346*J346*(1-K346/100)</f>
        <v>38000</v>
      </c>
      <c r="N346" t="str">
        <f>TEXT(B346,"yyyy-mm")</f>
        <v>2025-12</v>
      </c>
    </row>
    <row r="347" spans="1:14" x14ac:dyDescent="0.3">
      <c r="A347">
        <v>5457</v>
      </c>
      <c r="B347" s="1">
        <v>45832</v>
      </c>
      <c r="C347">
        <v>1021</v>
      </c>
      <c r="D347" t="s">
        <v>21</v>
      </c>
      <c r="E347" t="s">
        <v>13</v>
      </c>
      <c r="F347" t="s">
        <v>14</v>
      </c>
      <c r="G347" t="s">
        <v>65</v>
      </c>
      <c r="H347" t="s">
        <v>16</v>
      </c>
      <c r="I347">
        <v>3</v>
      </c>
      <c r="J347">
        <v>12000</v>
      </c>
      <c r="K347">
        <v>0</v>
      </c>
      <c r="L347" t="s">
        <v>43</v>
      </c>
      <c r="M347">
        <f>I347*J347*(1-K347/100)</f>
        <v>36000</v>
      </c>
      <c r="N347" t="str">
        <f>TEXT(B347,"yyyy-mm")</f>
        <v>2025-06</v>
      </c>
    </row>
    <row r="348" spans="1:14" x14ac:dyDescent="0.3">
      <c r="A348">
        <v>5482</v>
      </c>
      <c r="B348" s="1">
        <v>45842</v>
      </c>
      <c r="C348">
        <v>1021</v>
      </c>
      <c r="D348" t="s">
        <v>21</v>
      </c>
      <c r="E348" t="s">
        <v>13</v>
      </c>
      <c r="F348" t="s">
        <v>14</v>
      </c>
      <c r="G348" t="s">
        <v>19</v>
      </c>
      <c r="H348" t="s">
        <v>16</v>
      </c>
      <c r="I348">
        <v>3</v>
      </c>
      <c r="J348">
        <v>9500</v>
      </c>
      <c r="K348">
        <v>15</v>
      </c>
      <c r="L348" t="s">
        <v>43</v>
      </c>
      <c r="M348">
        <f>I348*J348*(1-K348/100)</f>
        <v>24225</v>
      </c>
      <c r="N348" t="str">
        <f>TEXT(B348,"yyyy-mm")</f>
        <v>2025-07</v>
      </c>
    </row>
    <row r="349" spans="1:14" x14ac:dyDescent="0.3">
      <c r="A349">
        <v>5600</v>
      </c>
      <c r="B349" s="1">
        <v>45883</v>
      </c>
      <c r="C349">
        <v>1021</v>
      </c>
      <c r="D349" t="s">
        <v>21</v>
      </c>
      <c r="E349" t="s">
        <v>13</v>
      </c>
      <c r="F349" t="s">
        <v>14</v>
      </c>
      <c r="G349" t="s">
        <v>37</v>
      </c>
      <c r="H349" t="s">
        <v>38</v>
      </c>
      <c r="I349">
        <v>3</v>
      </c>
      <c r="J349">
        <v>7500</v>
      </c>
      <c r="K349">
        <v>0</v>
      </c>
      <c r="L349" t="s">
        <v>20</v>
      </c>
      <c r="M349">
        <f>I349*J349*(1-K349/100)</f>
        <v>22500</v>
      </c>
      <c r="N349" t="str">
        <f>TEXT(B349,"yyyy-mm")</f>
        <v>2025-08</v>
      </c>
    </row>
    <row r="350" spans="1:14" x14ac:dyDescent="0.3">
      <c r="A350">
        <v>5083</v>
      </c>
      <c r="B350" s="1">
        <v>45688</v>
      </c>
      <c r="C350">
        <v>1021</v>
      </c>
      <c r="D350" t="s">
        <v>21</v>
      </c>
      <c r="E350" t="s">
        <v>13</v>
      </c>
      <c r="F350" t="s">
        <v>14</v>
      </c>
      <c r="G350" t="s">
        <v>55</v>
      </c>
      <c r="H350" t="s">
        <v>16</v>
      </c>
      <c r="I350">
        <v>2</v>
      </c>
      <c r="J350">
        <v>2500</v>
      </c>
      <c r="K350">
        <v>5</v>
      </c>
      <c r="L350" t="s">
        <v>20</v>
      </c>
      <c r="M350">
        <f>I350*J350*(1-K350/100)</f>
        <v>4750</v>
      </c>
      <c r="N350" t="str">
        <f>TEXT(B350,"yyyy-mm")</f>
        <v>2025-01</v>
      </c>
    </row>
    <row r="351" spans="1:14" x14ac:dyDescent="0.3">
      <c r="A351">
        <v>5107</v>
      </c>
      <c r="B351" s="1">
        <v>45697</v>
      </c>
      <c r="C351">
        <v>1021</v>
      </c>
      <c r="D351" t="s">
        <v>21</v>
      </c>
      <c r="E351" t="s">
        <v>87</v>
      </c>
      <c r="F351" t="s">
        <v>14</v>
      </c>
      <c r="G351" t="s">
        <v>42</v>
      </c>
      <c r="H351" t="s">
        <v>31</v>
      </c>
      <c r="I351">
        <v>2</v>
      </c>
      <c r="J351">
        <v>200</v>
      </c>
      <c r="K351">
        <v>10</v>
      </c>
      <c r="L351" t="s">
        <v>25</v>
      </c>
      <c r="M351">
        <f>I351*J351*(1-K351/100)</f>
        <v>360</v>
      </c>
      <c r="N351" t="str">
        <f>TEXT(B351,"yyyy-mm")</f>
        <v>2025-02</v>
      </c>
    </row>
    <row r="352" spans="1:14" x14ac:dyDescent="0.3">
      <c r="A352">
        <v>5211</v>
      </c>
      <c r="B352" s="1">
        <v>45731</v>
      </c>
      <c r="C352">
        <v>1021</v>
      </c>
      <c r="D352" t="s">
        <v>21</v>
      </c>
      <c r="E352" t="s">
        <v>13</v>
      </c>
      <c r="F352" t="s">
        <v>14</v>
      </c>
      <c r="G352" t="s">
        <v>42</v>
      </c>
      <c r="H352" t="s">
        <v>31</v>
      </c>
      <c r="I352">
        <v>2</v>
      </c>
      <c r="J352">
        <v>200</v>
      </c>
      <c r="K352">
        <v>0</v>
      </c>
      <c r="L352" t="s">
        <v>20</v>
      </c>
      <c r="M352">
        <f>I352*J352*(1-K352/100)</f>
        <v>400</v>
      </c>
      <c r="N352" t="str">
        <f>TEXT(B352,"yyyy-mm")</f>
        <v>2025-03</v>
      </c>
    </row>
    <row r="353" spans="1:14" x14ac:dyDescent="0.3">
      <c r="A353">
        <v>5411</v>
      </c>
      <c r="B353" s="1">
        <v>45816</v>
      </c>
      <c r="C353">
        <v>1021</v>
      </c>
      <c r="D353" t="s">
        <v>21</v>
      </c>
      <c r="E353" t="s">
        <v>13</v>
      </c>
      <c r="F353" t="s">
        <v>14</v>
      </c>
      <c r="G353" t="s">
        <v>65</v>
      </c>
      <c r="H353" t="s">
        <v>16</v>
      </c>
      <c r="I353">
        <v>2</v>
      </c>
      <c r="J353">
        <v>12000</v>
      </c>
      <c r="K353">
        <v>5</v>
      </c>
      <c r="L353" t="s">
        <v>20</v>
      </c>
      <c r="M353">
        <f>I353*J353*(1-K353/100)</f>
        <v>22800</v>
      </c>
      <c r="N353" t="str">
        <f>TEXT(B353,"yyyy-mm")</f>
        <v>2025-06</v>
      </c>
    </row>
    <row r="354" spans="1:14" x14ac:dyDescent="0.3">
      <c r="A354">
        <v>5471</v>
      </c>
      <c r="B354" s="1">
        <v>45838</v>
      </c>
      <c r="C354">
        <v>1021</v>
      </c>
      <c r="D354" t="s">
        <v>21</v>
      </c>
      <c r="E354" t="s">
        <v>13</v>
      </c>
      <c r="F354" t="s">
        <v>14</v>
      </c>
      <c r="G354" t="s">
        <v>55</v>
      </c>
      <c r="H354" t="s">
        <v>16</v>
      </c>
      <c r="I354">
        <v>2</v>
      </c>
      <c r="J354">
        <v>2500</v>
      </c>
      <c r="K354">
        <v>0</v>
      </c>
      <c r="L354" t="s">
        <v>20</v>
      </c>
      <c r="M354">
        <f>I354*J354*(1-K354/100)</f>
        <v>5000</v>
      </c>
      <c r="N354" t="str">
        <f>TEXT(B354,"yyyy-mm")</f>
        <v>2025-06</v>
      </c>
    </row>
    <row r="355" spans="1:14" x14ac:dyDescent="0.3">
      <c r="A355">
        <v>5730</v>
      </c>
      <c r="B355" s="1">
        <v>45930</v>
      </c>
      <c r="C355">
        <v>1021</v>
      </c>
      <c r="D355" t="s">
        <v>21</v>
      </c>
      <c r="E355" t="s">
        <v>13</v>
      </c>
      <c r="F355" t="s">
        <v>14</v>
      </c>
      <c r="G355" t="s">
        <v>30</v>
      </c>
      <c r="H355" t="s">
        <v>31</v>
      </c>
      <c r="I355">
        <v>2</v>
      </c>
      <c r="J355">
        <v>350</v>
      </c>
      <c r="K355">
        <v>15</v>
      </c>
      <c r="L355" t="s">
        <v>34</v>
      </c>
      <c r="M355">
        <f>I355*J355*(1-K355/100)</f>
        <v>595</v>
      </c>
      <c r="N355" t="str">
        <f>TEXT(B355,"yyyy-mm")</f>
        <v>2025-09</v>
      </c>
    </row>
    <row r="356" spans="1:14" x14ac:dyDescent="0.3">
      <c r="A356">
        <v>5072</v>
      </c>
      <c r="B356" s="1">
        <v>45684</v>
      </c>
      <c r="C356">
        <v>1021</v>
      </c>
      <c r="D356" t="s">
        <v>21</v>
      </c>
      <c r="E356" t="s">
        <v>87</v>
      </c>
      <c r="F356" t="s">
        <v>14</v>
      </c>
      <c r="G356" t="s">
        <v>55</v>
      </c>
      <c r="H356" t="s">
        <v>16</v>
      </c>
      <c r="I356">
        <v>1</v>
      </c>
      <c r="J356">
        <v>2500</v>
      </c>
      <c r="K356">
        <v>10</v>
      </c>
      <c r="L356" t="s">
        <v>43</v>
      </c>
      <c r="M356">
        <f>I356*J356*(1-K356/100)</f>
        <v>2250</v>
      </c>
      <c r="N356" t="str">
        <f>TEXT(B356,"yyyy-mm")</f>
        <v>2025-01</v>
      </c>
    </row>
    <row r="357" spans="1:14" x14ac:dyDescent="0.3">
      <c r="A357">
        <v>5292</v>
      </c>
      <c r="B357" s="1">
        <v>45766</v>
      </c>
      <c r="C357">
        <v>1021</v>
      </c>
      <c r="D357" t="s">
        <v>21</v>
      </c>
      <c r="E357" t="s">
        <v>13</v>
      </c>
      <c r="F357" t="s">
        <v>14</v>
      </c>
      <c r="G357" t="s">
        <v>36</v>
      </c>
      <c r="H357" t="s">
        <v>16</v>
      </c>
      <c r="I357">
        <v>1</v>
      </c>
      <c r="J357">
        <v>55000</v>
      </c>
      <c r="K357">
        <v>0</v>
      </c>
      <c r="L357" t="s">
        <v>17</v>
      </c>
      <c r="M357">
        <f>I357*J357*(1-K357/100)</f>
        <v>55000</v>
      </c>
      <c r="N357" t="str">
        <f>TEXT(B357,"yyyy-mm")</f>
        <v>2025-04</v>
      </c>
    </row>
    <row r="358" spans="1:14" x14ac:dyDescent="0.3">
      <c r="A358">
        <v>5678</v>
      </c>
      <c r="B358" s="1">
        <v>45913</v>
      </c>
      <c r="C358">
        <v>1021</v>
      </c>
      <c r="D358" t="s">
        <v>21</v>
      </c>
      <c r="E358" t="s">
        <v>13</v>
      </c>
      <c r="F358" t="s">
        <v>14</v>
      </c>
      <c r="G358" t="s">
        <v>57</v>
      </c>
      <c r="H358" t="s">
        <v>38</v>
      </c>
      <c r="I358">
        <v>1</v>
      </c>
      <c r="J358">
        <v>16000</v>
      </c>
      <c r="K358">
        <v>10</v>
      </c>
      <c r="L358" t="s">
        <v>25</v>
      </c>
      <c r="M358">
        <f>I358*J358*(1-K358/100)</f>
        <v>14400</v>
      </c>
      <c r="N358" t="str">
        <f>TEXT(B358,"yyyy-mm")</f>
        <v>2025-09</v>
      </c>
    </row>
    <row r="359" spans="1:14" x14ac:dyDescent="0.3">
      <c r="A359">
        <v>5060</v>
      </c>
      <c r="B359" s="1">
        <v>45677</v>
      </c>
      <c r="C359">
        <v>1022</v>
      </c>
      <c r="D359" t="s">
        <v>69</v>
      </c>
      <c r="E359" t="s">
        <v>29</v>
      </c>
      <c r="F359" t="s">
        <v>14</v>
      </c>
      <c r="G359" t="s">
        <v>37</v>
      </c>
      <c r="H359" t="s">
        <v>38</v>
      </c>
      <c r="I359">
        <v>5</v>
      </c>
      <c r="J359">
        <v>7500</v>
      </c>
      <c r="K359">
        <v>5</v>
      </c>
      <c r="L359" t="s">
        <v>43</v>
      </c>
      <c r="M359">
        <f>I359*J359*(1-K359/100)</f>
        <v>35625</v>
      </c>
      <c r="N359" t="str">
        <f>TEXT(B359,"yyyy-mm")</f>
        <v>2025-01</v>
      </c>
    </row>
    <row r="360" spans="1:14" x14ac:dyDescent="0.3">
      <c r="A360">
        <v>5753</v>
      </c>
      <c r="B360" s="1">
        <v>45939</v>
      </c>
      <c r="C360">
        <v>1022</v>
      </c>
      <c r="D360" t="s">
        <v>69</v>
      </c>
      <c r="E360" t="s">
        <v>29</v>
      </c>
      <c r="F360" t="s">
        <v>14</v>
      </c>
      <c r="G360" t="s">
        <v>19</v>
      </c>
      <c r="H360" t="s">
        <v>16</v>
      </c>
      <c r="I360">
        <v>5</v>
      </c>
      <c r="J360">
        <v>9500</v>
      </c>
      <c r="K360">
        <v>0</v>
      </c>
      <c r="L360" t="s">
        <v>34</v>
      </c>
      <c r="M360">
        <f>I360*J360*(1-K360/100)</f>
        <v>47500</v>
      </c>
      <c r="N360" t="str">
        <f>TEXT(B360,"yyyy-mm")</f>
        <v>2025-10</v>
      </c>
    </row>
    <row r="361" spans="1:14" x14ac:dyDescent="0.3">
      <c r="A361">
        <v>5756</v>
      </c>
      <c r="B361" s="1">
        <v>45940</v>
      </c>
      <c r="C361">
        <v>1022</v>
      </c>
      <c r="D361" t="s">
        <v>69</v>
      </c>
      <c r="E361" t="s">
        <v>29</v>
      </c>
      <c r="F361" t="s">
        <v>14</v>
      </c>
      <c r="G361" t="s">
        <v>37</v>
      </c>
      <c r="H361" t="s">
        <v>38</v>
      </c>
      <c r="I361">
        <v>5</v>
      </c>
      <c r="J361">
        <v>7500</v>
      </c>
      <c r="K361">
        <v>10</v>
      </c>
      <c r="L361" t="s">
        <v>17</v>
      </c>
      <c r="M361">
        <f>I361*J361*(1-K361/100)</f>
        <v>33750</v>
      </c>
      <c r="N361" t="str">
        <f>TEXT(B361,"yyyy-mm")</f>
        <v>2025-10</v>
      </c>
    </row>
    <row r="362" spans="1:14" x14ac:dyDescent="0.3">
      <c r="A362">
        <v>5845</v>
      </c>
      <c r="B362" s="1">
        <v>45968</v>
      </c>
      <c r="C362">
        <v>1022</v>
      </c>
      <c r="D362" t="s">
        <v>69</v>
      </c>
      <c r="E362" t="s">
        <v>29</v>
      </c>
      <c r="F362" t="s">
        <v>14</v>
      </c>
      <c r="G362" t="s">
        <v>57</v>
      </c>
      <c r="H362" t="s">
        <v>38</v>
      </c>
      <c r="I362">
        <v>4</v>
      </c>
      <c r="J362">
        <v>16000</v>
      </c>
      <c r="K362">
        <v>0</v>
      </c>
      <c r="L362" t="s">
        <v>17</v>
      </c>
      <c r="M362">
        <f>I362*J362*(1-K362/100)</f>
        <v>64000</v>
      </c>
      <c r="N362" t="str">
        <f>TEXT(B362,"yyyy-mm")</f>
        <v>2025-11</v>
      </c>
    </row>
    <row r="363" spans="1:14" x14ac:dyDescent="0.3">
      <c r="A363">
        <v>5891</v>
      </c>
      <c r="B363" s="1">
        <v>45989</v>
      </c>
      <c r="C363">
        <v>1022</v>
      </c>
      <c r="D363" t="s">
        <v>69</v>
      </c>
      <c r="E363" t="s">
        <v>29</v>
      </c>
      <c r="F363" t="s">
        <v>14</v>
      </c>
      <c r="G363" t="s">
        <v>55</v>
      </c>
      <c r="H363" t="s">
        <v>16</v>
      </c>
      <c r="I363">
        <v>4</v>
      </c>
      <c r="J363">
        <v>2500</v>
      </c>
      <c r="K363">
        <v>10</v>
      </c>
      <c r="L363" t="s">
        <v>20</v>
      </c>
      <c r="M363">
        <f>I363*J363*(1-K363/100)</f>
        <v>9000</v>
      </c>
      <c r="N363" t="str">
        <f>TEXT(B363,"yyyy-mm")</f>
        <v>2025-11</v>
      </c>
    </row>
    <row r="364" spans="1:14" x14ac:dyDescent="0.3">
      <c r="A364">
        <v>5982</v>
      </c>
      <c r="B364" s="1">
        <v>46015</v>
      </c>
      <c r="C364">
        <v>1022</v>
      </c>
      <c r="D364" t="s">
        <v>69</v>
      </c>
      <c r="E364" t="s">
        <v>29</v>
      </c>
      <c r="F364" t="s">
        <v>14</v>
      </c>
      <c r="G364" t="s">
        <v>42</v>
      </c>
      <c r="H364" t="s">
        <v>31</v>
      </c>
      <c r="I364">
        <v>4</v>
      </c>
      <c r="J364">
        <v>200</v>
      </c>
      <c r="K364">
        <v>15</v>
      </c>
      <c r="L364" t="s">
        <v>20</v>
      </c>
      <c r="M364">
        <f>I364*J364*(1-K364/100)</f>
        <v>680</v>
      </c>
      <c r="N364" t="str">
        <f>TEXT(B364,"yyyy-mm")</f>
        <v>2025-12</v>
      </c>
    </row>
    <row r="365" spans="1:14" x14ac:dyDescent="0.3">
      <c r="A365">
        <v>5063</v>
      </c>
      <c r="B365" s="1">
        <v>45678</v>
      </c>
      <c r="C365">
        <v>1022</v>
      </c>
      <c r="D365" t="s">
        <v>69</v>
      </c>
      <c r="E365" t="s">
        <v>29</v>
      </c>
      <c r="F365" t="s">
        <v>14</v>
      </c>
      <c r="G365" t="s">
        <v>30</v>
      </c>
      <c r="H365" t="s">
        <v>31</v>
      </c>
      <c r="I365">
        <v>3</v>
      </c>
      <c r="J365">
        <v>350</v>
      </c>
      <c r="K365">
        <v>0</v>
      </c>
      <c r="L365" t="s">
        <v>43</v>
      </c>
      <c r="M365">
        <f>I365*J365*(1-K365/100)</f>
        <v>1050</v>
      </c>
      <c r="N365" t="str">
        <f>TEXT(B365,"yyyy-mm")</f>
        <v>2025-01</v>
      </c>
    </row>
    <row r="366" spans="1:14" x14ac:dyDescent="0.3">
      <c r="A366">
        <v>5385</v>
      </c>
      <c r="B366" s="1">
        <v>45807</v>
      </c>
      <c r="C366">
        <v>1022</v>
      </c>
      <c r="D366" t="s">
        <v>69</v>
      </c>
      <c r="E366" t="s">
        <v>29</v>
      </c>
      <c r="F366" t="s">
        <v>14</v>
      </c>
      <c r="G366" t="s">
        <v>24</v>
      </c>
      <c r="H366" t="s">
        <v>16</v>
      </c>
      <c r="I366">
        <v>3</v>
      </c>
      <c r="J366">
        <v>22000</v>
      </c>
      <c r="K366">
        <v>15</v>
      </c>
      <c r="L366" t="s">
        <v>34</v>
      </c>
      <c r="M366">
        <f>I366*J366*(1-K366/100)</f>
        <v>56100</v>
      </c>
      <c r="N366" t="str">
        <f>TEXT(B366,"yyyy-mm")</f>
        <v>2025-05</v>
      </c>
    </row>
    <row r="367" spans="1:14" x14ac:dyDescent="0.3">
      <c r="A367">
        <v>5901</v>
      </c>
      <c r="B367" s="1">
        <v>45993</v>
      </c>
      <c r="C367">
        <v>1022</v>
      </c>
      <c r="D367" t="s">
        <v>69</v>
      </c>
      <c r="E367" t="s">
        <v>29</v>
      </c>
      <c r="F367" t="s">
        <v>14</v>
      </c>
      <c r="G367" t="s">
        <v>65</v>
      </c>
      <c r="H367" t="s">
        <v>16</v>
      </c>
      <c r="I367">
        <v>3</v>
      </c>
      <c r="J367">
        <v>12000</v>
      </c>
      <c r="K367">
        <v>10</v>
      </c>
      <c r="L367" t="s">
        <v>34</v>
      </c>
      <c r="M367">
        <f>I367*J367*(1-K367/100)</f>
        <v>32400</v>
      </c>
      <c r="N367" t="str">
        <f>TEXT(B367,"yyyy-mm")</f>
        <v>2025-12</v>
      </c>
    </row>
    <row r="368" spans="1:14" x14ac:dyDescent="0.3">
      <c r="A368">
        <v>5399</v>
      </c>
      <c r="B368" s="1">
        <v>45810</v>
      </c>
      <c r="C368">
        <v>1022</v>
      </c>
      <c r="D368" t="s">
        <v>69</v>
      </c>
      <c r="E368" t="s">
        <v>29</v>
      </c>
      <c r="F368" t="s">
        <v>14</v>
      </c>
      <c r="G368" t="s">
        <v>55</v>
      </c>
      <c r="H368" t="s">
        <v>16</v>
      </c>
      <c r="I368">
        <v>2</v>
      </c>
      <c r="J368">
        <v>2500</v>
      </c>
      <c r="K368">
        <v>15</v>
      </c>
      <c r="L368" t="s">
        <v>43</v>
      </c>
      <c r="M368">
        <f>I368*J368*(1-K368/100)</f>
        <v>4250</v>
      </c>
      <c r="N368" t="str">
        <f>TEXT(B368,"yyyy-mm")</f>
        <v>2025-06</v>
      </c>
    </row>
    <row r="369" spans="1:14" x14ac:dyDescent="0.3">
      <c r="A369">
        <v>5531</v>
      </c>
      <c r="B369" s="1">
        <v>45856</v>
      </c>
      <c r="C369">
        <v>1022</v>
      </c>
      <c r="D369" t="s">
        <v>69</v>
      </c>
      <c r="E369" t="s">
        <v>29</v>
      </c>
      <c r="F369" t="s">
        <v>14</v>
      </c>
      <c r="G369" t="s">
        <v>42</v>
      </c>
      <c r="H369" t="s">
        <v>31</v>
      </c>
      <c r="I369">
        <v>2</v>
      </c>
      <c r="J369">
        <v>200</v>
      </c>
      <c r="K369">
        <v>15</v>
      </c>
      <c r="L369" t="s">
        <v>43</v>
      </c>
      <c r="M369">
        <f>I369*J369*(1-K369/100)</f>
        <v>340</v>
      </c>
      <c r="N369" t="str">
        <f>TEXT(B369,"yyyy-mm")</f>
        <v>2025-07</v>
      </c>
    </row>
    <row r="370" spans="1:14" x14ac:dyDescent="0.3">
      <c r="A370">
        <v>5625</v>
      </c>
      <c r="B370" s="1">
        <v>45891</v>
      </c>
      <c r="C370">
        <v>1022</v>
      </c>
      <c r="D370" t="s">
        <v>69</v>
      </c>
      <c r="E370" t="s">
        <v>87</v>
      </c>
      <c r="F370" t="s">
        <v>14</v>
      </c>
      <c r="G370" t="s">
        <v>30</v>
      </c>
      <c r="H370" t="s">
        <v>31</v>
      </c>
      <c r="I370">
        <v>2</v>
      </c>
      <c r="J370">
        <v>350</v>
      </c>
      <c r="K370">
        <v>5</v>
      </c>
      <c r="L370" t="s">
        <v>43</v>
      </c>
      <c r="M370">
        <f>I370*J370*(1-K370/100)</f>
        <v>665</v>
      </c>
      <c r="N370" t="str">
        <f>TEXT(B370,"yyyy-mm")</f>
        <v>2025-08</v>
      </c>
    </row>
    <row r="371" spans="1:14" x14ac:dyDescent="0.3">
      <c r="A371">
        <v>5627</v>
      </c>
      <c r="B371" s="1">
        <v>45892</v>
      </c>
      <c r="C371">
        <v>1022</v>
      </c>
      <c r="D371" t="s">
        <v>69</v>
      </c>
      <c r="E371" t="s">
        <v>29</v>
      </c>
      <c r="F371" t="s">
        <v>14</v>
      </c>
      <c r="G371" t="s">
        <v>42</v>
      </c>
      <c r="H371" t="s">
        <v>31</v>
      </c>
      <c r="I371">
        <v>2</v>
      </c>
      <c r="J371">
        <v>200</v>
      </c>
      <c r="K371">
        <v>0</v>
      </c>
      <c r="L371" t="s">
        <v>25</v>
      </c>
      <c r="M371">
        <f>I371*J371*(1-K371/100)</f>
        <v>400</v>
      </c>
      <c r="N371" t="str">
        <f>TEXT(B371,"yyyy-mm")</f>
        <v>2025-08</v>
      </c>
    </row>
    <row r="372" spans="1:14" x14ac:dyDescent="0.3">
      <c r="A372">
        <v>5272</v>
      </c>
      <c r="B372" s="1">
        <v>45759</v>
      </c>
      <c r="C372">
        <v>1022</v>
      </c>
      <c r="D372" t="s">
        <v>69</v>
      </c>
      <c r="E372" t="s">
        <v>29</v>
      </c>
      <c r="F372" t="s">
        <v>14</v>
      </c>
      <c r="G372" t="s">
        <v>57</v>
      </c>
      <c r="H372" t="s">
        <v>38</v>
      </c>
      <c r="I372">
        <v>1</v>
      </c>
      <c r="J372">
        <v>16000</v>
      </c>
      <c r="K372">
        <v>0</v>
      </c>
      <c r="L372" t="s">
        <v>25</v>
      </c>
      <c r="M372">
        <f>I372*J372*(1-K372/100)</f>
        <v>16000</v>
      </c>
      <c r="N372" t="str">
        <f>TEXT(B372,"yyyy-mm")</f>
        <v>2025-04</v>
      </c>
    </row>
    <row r="373" spans="1:14" x14ac:dyDescent="0.3">
      <c r="A373">
        <v>5473</v>
      </c>
      <c r="B373" s="1">
        <v>45840</v>
      </c>
      <c r="C373">
        <v>1022</v>
      </c>
      <c r="D373" t="s">
        <v>69</v>
      </c>
      <c r="E373" t="s">
        <v>29</v>
      </c>
      <c r="F373" t="s">
        <v>14</v>
      </c>
      <c r="G373" t="s">
        <v>40</v>
      </c>
      <c r="H373" t="s">
        <v>38</v>
      </c>
      <c r="I373">
        <v>1</v>
      </c>
      <c r="J373">
        <v>900</v>
      </c>
      <c r="K373">
        <v>0</v>
      </c>
      <c r="L373" t="s">
        <v>34</v>
      </c>
      <c r="M373">
        <f>I373*J373*(1-K373/100)</f>
        <v>900</v>
      </c>
      <c r="N373" t="str">
        <f>TEXT(B373,"yyyy-mm")</f>
        <v>2025-07</v>
      </c>
    </row>
    <row r="374" spans="1:14" x14ac:dyDescent="0.3">
      <c r="A374">
        <v>5418</v>
      </c>
      <c r="B374" s="1">
        <v>45817</v>
      </c>
      <c r="C374">
        <v>1023</v>
      </c>
      <c r="D374" t="s">
        <v>86</v>
      </c>
      <c r="E374" t="s">
        <v>87</v>
      </c>
      <c r="F374" t="s">
        <v>14</v>
      </c>
      <c r="G374" t="s">
        <v>36</v>
      </c>
      <c r="H374" t="s">
        <v>16</v>
      </c>
      <c r="I374">
        <v>5</v>
      </c>
      <c r="J374">
        <v>55000</v>
      </c>
      <c r="K374">
        <v>0</v>
      </c>
      <c r="L374" t="s">
        <v>17</v>
      </c>
      <c r="M374">
        <f>I374*J374*(1-K374/100)</f>
        <v>275000</v>
      </c>
      <c r="N374" t="str">
        <f>TEXT(B374,"yyyy-mm")</f>
        <v>2025-06</v>
      </c>
    </row>
    <row r="375" spans="1:14" x14ac:dyDescent="0.3">
      <c r="A375">
        <v>5557</v>
      </c>
      <c r="B375" s="1">
        <v>45866</v>
      </c>
      <c r="C375">
        <v>1023</v>
      </c>
      <c r="D375" t="s">
        <v>86</v>
      </c>
      <c r="E375" t="s">
        <v>33</v>
      </c>
      <c r="F375" t="s">
        <v>14</v>
      </c>
      <c r="G375" t="s">
        <v>24</v>
      </c>
      <c r="H375" t="s">
        <v>16</v>
      </c>
      <c r="I375">
        <v>5</v>
      </c>
      <c r="J375">
        <v>22000</v>
      </c>
      <c r="K375">
        <v>0</v>
      </c>
      <c r="L375" t="s">
        <v>43</v>
      </c>
      <c r="M375">
        <f>I375*J375*(1-K375/100)</f>
        <v>110000</v>
      </c>
      <c r="N375" t="str">
        <f>TEXT(B375,"yyyy-mm")</f>
        <v>2025-07</v>
      </c>
    </row>
    <row r="376" spans="1:14" x14ac:dyDescent="0.3">
      <c r="A376">
        <v>5637</v>
      </c>
      <c r="B376" s="1">
        <v>45895</v>
      </c>
      <c r="C376">
        <v>1023</v>
      </c>
      <c r="D376" t="s">
        <v>86</v>
      </c>
      <c r="E376" t="s">
        <v>33</v>
      </c>
      <c r="F376" t="s">
        <v>14</v>
      </c>
      <c r="G376" t="s">
        <v>52</v>
      </c>
      <c r="H376" t="s">
        <v>16</v>
      </c>
      <c r="I376">
        <v>5</v>
      </c>
      <c r="J376">
        <v>6000</v>
      </c>
      <c r="K376">
        <v>5</v>
      </c>
      <c r="L376" t="s">
        <v>43</v>
      </c>
      <c r="M376">
        <f>I376*J376*(1-K376/100)</f>
        <v>28500</v>
      </c>
      <c r="N376" t="str">
        <f>TEXT(B376,"yyyy-mm")</f>
        <v>2025-08</v>
      </c>
    </row>
    <row r="377" spans="1:14" x14ac:dyDescent="0.3">
      <c r="A377">
        <v>5472</v>
      </c>
      <c r="B377" s="1">
        <v>45838</v>
      </c>
      <c r="C377">
        <v>1023</v>
      </c>
      <c r="D377" t="s">
        <v>86</v>
      </c>
      <c r="E377" t="s">
        <v>33</v>
      </c>
      <c r="F377" t="s">
        <v>14</v>
      </c>
      <c r="G377" t="s">
        <v>30</v>
      </c>
      <c r="H377" t="s">
        <v>31</v>
      </c>
      <c r="I377">
        <v>4</v>
      </c>
      <c r="J377">
        <v>350</v>
      </c>
      <c r="K377">
        <v>0</v>
      </c>
      <c r="L377" t="s">
        <v>43</v>
      </c>
      <c r="M377">
        <f>I377*J377*(1-K377/100)</f>
        <v>1400</v>
      </c>
      <c r="N377" t="str">
        <f>TEXT(B377,"yyyy-mm")</f>
        <v>2025-06</v>
      </c>
    </row>
    <row r="378" spans="1:14" x14ac:dyDescent="0.3">
      <c r="A378">
        <v>5564</v>
      </c>
      <c r="B378" s="1">
        <v>45870</v>
      </c>
      <c r="C378">
        <v>1023</v>
      </c>
      <c r="D378" t="s">
        <v>86</v>
      </c>
      <c r="E378" t="s">
        <v>33</v>
      </c>
      <c r="F378" t="s">
        <v>14</v>
      </c>
      <c r="G378" t="s">
        <v>65</v>
      </c>
      <c r="H378" t="s">
        <v>16</v>
      </c>
      <c r="I378">
        <v>4</v>
      </c>
      <c r="J378">
        <v>12000</v>
      </c>
      <c r="K378">
        <v>5</v>
      </c>
      <c r="L378" t="s">
        <v>34</v>
      </c>
      <c r="M378">
        <f>I378*J378*(1-K378/100)</f>
        <v>45600</v>
      </c>
      <c r="N378" t="str">
        <f>TEXT(B378,"yyyy-mm")</f>
        <v>2025-08</v>
      </c>
    </row>
    <row r="379" spans="1:14" x14ac:dyDescent="0.3">
      <c r="A379">
        <v>5448</v>
      </c>
      <c r="B379" s="1">
        <v>45828</v>
      </c>
      <c r="C379">
        <v>1023</v>
      </c>
      <c r="D379" t="s">
        <v>86</v>
      </c>
      <c r="E379" t="s">
        <v>33</v>
      </c>
      <c r="F379" t="s">
        <v>14</v>
      </c>
      <c r="G379" t="s">
        <v>15</v>
      </c>
      <c r="H379" t="s">
        <v>16</v>
      </c>
      <c r="I379">
        <v>2</v>
      </c>
      <c r="J379">
        <v>18000</v>
      </c>
      <c r="K379">
        <v>0</v>
      </c>
      <c r="L379" t="s">
        <v>43</v>
      </c>
      <c r="M379">
        <f>I379*J379*(1-K379/100)</f>
        <v>36000</v>
      </c>
      <c r="N379" t="str">
        <f>TEXT(B379,"yyyy-mm")</f>
        <v>2025-06</v>
      </c>
    </row>
    <row r="380" spans="1:14" x14ac:dyDescent="0.3">
      <c r="A380">
        <v>5667</v>
      </c>
      <c r="B380" s="1">
        <v>45908</v>
      </c>
      <c r="C380">
        <v>1023</v>
      </c>
      <c r="D380" t="s">
        <v>86</v>
      </c>
      <c r="E380" t="s">
        <v>33</v>
      </c>
      <c r="F380" t="s">
        <v>14</v>
      </c>
      <c r="G380" t="s">
        <v>40</v>
      </c>
      <c r="H380" t="s">
        <v>38</v>
      </c>
      <c r="I380">
        <v>2</v>
      </c>
      <c r="J380">
        <v>900</v>
      </c>
      <c r="K380">
        <v>5</v>
      </c>
      <c r="L380" t="s">
        <v>20</v>
      </c>
      <c r="M380">
        <f>I380*J380*(1-K380/100)</f>
        <v>1710</v>
      </c>
      <c r="N380" t="str">
        <f>TEXT(B380,"yyyy-mm")</f>
        <v>2025-09</v>
      </c>
    </row>
    <row r="381" spans="1:14" x14ac:dyDescent="0.3">
      <c r="A381">
        <v>5979</v>
      </c>
      <c r="B381" s="1">
        <v>46015</v>
      </c>
      <c r="C381">
        <v>1023</v>
      </c>
      <c r="D381" t="s">
        <v>86</v>
      </c>
      <c r="E381" t="s">
        <v>33</v>
      </c>
      <c r="F381" t="s">
        <v>14</v>
      </c>
      <c r="G381" t="s">
        <v>24</v>
      </c>
      <c r="H381" t="s">
        <v>16</v>
      </c>
      <c r="I381">
        <v>2</v>
      </c>
      <c r="J381">
        <v>22000</v>
      </c>
      <c r="K381">
        <v>5</v>
      </c>
      <c r="L381" t="s">
        <v>43</v>
      </c>
      <c r="M381">
        <f>I381*J381*(1-K381/100)</f>
        <v>41800</v>
      </c>
      <c r="N381" t="str">
        <f>TEXT(B381,"yyyy-mm")</f>
        <v>2025-12</v>
      </c>
    </row>
    <row r="382" spans="1:14" x14ac:dyDescent="0.3">
      <c r="A382">
        <v>5645</v>
      </c>
      <c r="B382" s="1">
        <v>45898</v>
      </c>
      <c r="C382">
        <v>1023</v>
      </c>
      <c r="D382" t="s">
        <v>86</v>
      </c>
      <c r="E382" t="s">
        <v>33</v>
      </c>
      <c r="F382" t="s">
        <v>14</v>
      </c>
      <c r="G382" t="s">
        <v>65</v>
      </c>
      <c r="H382" t="s">
        <v>16</v>
      </c>
      <c r="I382">
        <v>1</v>
      </c>
      <c r="J382">
        <v>12000</v>
      </c>
      <c r="K382">
        <v>0</v>
      </c>
      <c r="L382" t="s">
        <v>25</v>
      </c>
      <c r="M382">
        <f>I382*J382*(1-K382/100)</f>
        <v>12000</v>
      </c>
      <c r="N382" t="str">
        <f>TEXT(B382,"yyyy-mm")</f>
        <v>2025-08</v>
      </c>
    </row>
    <row r="383" spans="1:14" x14ac:dyDescent="0.3">
      <c r="A383">
        <v>5168</v>
      </c>
      <c r="B383" s="1">
        <v>45714</v>
      </c>
      <c r="C383">
        <v>1024</v>
      </c>
      <c r="D383" t="s">
        <v>50</v>
      </c>
      <c r="E383" t="s">
        <v>33</v>
      </c>
      <c r="F383" t="s">
        <v>27</v>
      </c>
      <c r="G383" t="s">
        <v>36</v>
      </c>
      <c r="H383" t="s">
        <v>16</v>
      </c>
      <c r="I383">
        <v>5</v>
      </c>
      <c r="J383">
        <v>55000</v>
      </c>
      <c r="K383">
        <v>5</v>
      </c>
      <c r="L383" t="s">
        <v>34</v>
      </c>
      <c r="M383">
        <f>I383*J383*(1-K383/100)</f>
        <v>261250</v>
      </c>
      <c r="N383" t="str">
        <f>TEXT(B383,"yyyy-mm")</f>
        <v>2025-02</v>
      </c>
    </row>
    <row r="384" spans="1:14" x14ac:dyDescent="0.3">
      <c r="A384">
        <v>5366</v>
      </c>
      <c r="B384" s="1">
        <v>45797</v>
      </c>
      <c r="C384">
        <v>1024</v>
      </c>
      <c r="D384" t="s">
        <v>50</v>
      </c>
      <c r="E384" t="s">
        <v>33</v>
      </c>
      <c r="F384" t="s">
        <v>27</v>
      </c>
      <c r="G384" t="s">
        <v>55</v>
      </c>
      <c r="H384" t="s">
        <v>16</v>
      </c>
      <c r="I384">
        <v>5</v>
      </c>
      <c r="J384">
        <v>2500</v>
      </c>
      <c r="K384">
        <v>5</v>
      </c>
      <c r="L384" t="s">
        <v>34</v>
      </c>
      <c r="M384">
        <f>I384*J384*(1-K384/100)</f>
        <v>11875</v>
      </c>
      <c r="N384" t="str">
        <f>TEXT(B384,"yyyy-mm")</f>
        <v>2025-05</v>
      </c>
    </row>
    <row r="385" spans="1:14" x14ac:dyDescent="0.3">
      <c r="A385">
        <v>5394</v>
      </c>
      <c r="B385" s="1">
        <v>45810</v>
      </c>
      <c r="C385">
        <v>1024</v>
      </c>
      <c r="D385" t="s">
        <v>50</v>
      </c>
      <c r="E385" t="s">
        <v>33</v>
      </c>
      <c r="F385" t="s">
        <v>27</v>
      </c>
      <c r="G385" t="s">
        <v>15</v>
      </c>
      <c r="H385" t="s">
        <v>16</v>
      </c>
      <c r="I385">
        <v>5</v>
      </c>
      <c r="J385">
        <v>18000</v>
      </c>
      <c r="K385">
        <v>0</v>
      </c>
      <c r="L385" t="s">
        <v>17</v>
      </c>
      <c r="M385">
        <f>I385*J385*(1-K385/100)</f>
        <v>90000</v>
      </c>
      <c r="N385" t="str">
        <f>TEXT(B385,"yyyy-mm")</f>
        <v>2025-06</v>
      </c>
    </row>
    <row r="386" spans="1:14" x14ac:dyDescent="0.3">
      <c r="A386">
        <v>5454</v>
      </c>
      <c r="B386" s="1">
        <v>45831</v>
      </c>
      <c r="C386">
        <v>1024</v>
      </c>
      <c r="D386" t="s">
        <v>50</v>
      </c>
      <c r="E386" t="s">
        <v>33</v>
      </c>
      <c r="F386" t="s">
        <v>27</v>
      </c>
      <c r="G386" t="s">
        <v>40</v>
      </c>
      <c r="H386" t="s">
        <v>38</v>
      </c>
      <c r="I386">
        <v>5</v>
      </c>
      <c r="J386">
        <v>900</v>
      </c>
      <c r="K386">
        <v>10</v>
      </c>
      <c r="L386" t="s">
        <v>43</v>
      </c>
      <c r="M386">
        <f>I386*J386*(1-K386/100)</f>
        <v>4050</v>
      </c>
      <c r="N386" t="str">
        <f>TEXT(B386,"yyyy-mm")</f>
        <v>2025-06</v>
      </c>
    </row>
    <row r="387" spans="1:14" x14ac:dyDescent="0.3">
      <c r="A387">
        <v>5461</v>
      </c>
      <c r="B387" s="1">
        <v>45833</v>
      </c>
      <c r="C387">
        <v>1024</v>
      </c>
      <c r="D387" t="s">
        <v>50</v>
      </c>
      <c r="E387" t="s">
        <v>33</v>
      </c>
      <c r="F387" t="s">
        <v>27</v>
      </c>
      <c r="G387" t="s">
        <v>55</v>
      </c>
      <c r="H387" t="s">
        <v>16</v>
      </c>
      <c r="I387">
        <v>5</v>
      </c>
      <c r="J387">
        <v>2500</v>
      </c>
      <c r="K387">
        <v>0</v>
      </c>
      <c r="L387" t="s">
        <v>20</v>
      </c>
      <c r="M387">
        <f>I387*J387*(1-K387/100)</f>
        <v>12500</v>
      </c>
      <c r="N387" t="str">
        <f>TEXT(B387,"yyyy-mm")</f>
        <v>2025-06</v>
      </c>
    </row>
    <row r="388" spans="1:14" x14ac:dyDescent="0.3">
      <c r="A388">
        <v>5474</v>
      </c>
      <c r="B388" s="1">
        <v>45840</v>
      </c>
      <c r="C388">
        <v>1024</v>
      </c>
      <c r="D388" t="s">
        <v>50</v>
      </c>
      <c r="E388" t="s">
        <v>33</v>
      </c>
      <c r="F388" t="s">
        <v>27</v>
      </c>
      <c r="G388" t="s">
        <v>24</v>
      </c>
      <c r="H388" t="s">
        <v>16</v>
      </c>
      <c r="I388">
        <v>5</v>
      </c>
      <c r="J388">
        <v>22000</v>
      </c>
      <c r="K388">
        <v>0</v>
      </c>
      <c r="L388" t="s">
        <v>25</v>
      </c>
      <c r="M388">
        <f>I388*J388*(1-K388/100)</f>
        <v>110000</v>
      </c>
      <c r="N388" t="str">
        <f>TEXT(B388,"yyyy-mm")</f>
        <v>2025-07</v>
      </c>
    </row>
    <row r="389" spans="1:14" x14ac:dyDescent="0.3">
      <c r="A389">
        <v>5621</v>
      </c>
      <c r="B389" s="1">
        <v>45890</v>
      </c>
      <c r="C389">
        <v>1024</v>
      </c>
      <c r="D389" t="s">
        <v>50</v>
      </c>
      <c r="E389" t="s">
        <v>33</v>
      </c>
      <c r="F389" t="s">
        <v>27</v>
      </c>
      <c r="G389" t="s">
        <v>30</v>
      </c>
      <c r="H389" t="s">
        <v>31</v>
      </c>
      <c r="I389">
        <v>5</v>
      </c>
      <c r="J389">
        <v>350</v>
      </c>
      <c r="K389">
        <v>15</v>
      </c>
      <c r="L389" t="s">
        <v>20</v>
      </c>
      <c r="M389">
        <f>I389*J389*(1-K389/100)</f>
        <v>1487.5</v>
      </c>
      <c r="N389" t="str">
        <f>TEXT(B389,"yyyy-mm")</f>
        <v>2025-08</v>
      </c>
    </row>
    <row r="390" spans="1:14" x14ac:dyDescent="0.3">
      <c r="A390">
        <v>5991</v>
      </c>
      <c r="B390" s="1">
        <v>46019</v>
      </c>
      <c r="C390">
        <v>1024</v>
      </c>
      <c r="D390" t="s">
        <v>50</v>
      </c>
      <c r="E390" t="s">
        <v>33</v>
      </c>
      <c r="F390" t="s">
        <v>27</v>
      </c>
      <c r="G390" t="s">
        <v>65</v>
      </c>
      <c r="H390" t="s">
        <v>16</v>
      </c>
      <c r="I390">
        <v>5</v>
      </c>
      <c r="J390">
        <v>12000</v>
      </c>
      <c r="K390">
        <v>0</v>
      </c>
      <c r="L390" t="s">
        <v>34</v>
      </c>
      <c r="M390">
        <f>I390*J390*(1-K390/100)</f>
        <v>60000</v>
      </c>
      <c r="N390" t="str">
        <f>TEXT(B390,"yyyy-mm")</f>
        <v>2025-12</v>
      </c>
    </row>
    <row r="391" spans="1:14" x14ac:dyDescent="0.3">
      <c r="A391">
        <v>5329</v>
      </c>
      <c r="B391" s="1">
        <v>45777</v>
      </c>
      <c r="C391">
        <v>1024</v>
      </c>
      <c r="D391" t="s">
        <v>50</v>
      </c>
      <c r="E391" t="s">
        <v>33</v>
      </c>
      <c r="F391" t="s">
        <v>27</v>
      </c>
      <c r="G391" t="s">
        <v>57</v>
      </c>
      <c r="H391" t="s">
        <v>38</v>
      </c>
      <c r="I391">
        <v>4</v>
      </c>
      <c r="J391">
        <v>16000</v>
      </c>
      <c r="K391">
        <v>5</v>
      </c>
      <c r="L391" t="s">
        <v>17</v>
      </c>
      <c r="M391">
        <f>I391*J391*(1-K391/100)</f>
        <v>60800</v>
      </c>
      <c r="N391" t="str">
        <f>TEXT(B391,"yyyy-mm")</f>
        <v>2025-04</v>
      </c>
    </row>
    <row r="392" spans="1:14" x14ac:dyDescent="0.3">
      <c r="A392">
        <v>5703</v>
      </c>
      <c r="B392" s="1">
        <v>45923</v>
      </c>
      <c r="C392">
        <v>1024</v>
      </c>
      <c r="D392" t="s">
        <v>50</v>
      </c>
      <c r="E392" t="s">
        <v>33</v>
      </c>
      <c r="F392" t="s">
        <v>27</v>
      </c>
      <c r="G392" t="s">
        <v>30</v>
      </c>
      <c r="H392" t="s">
        <v>31</v>
      </c>
      <c r="I392">
        <v>4</v>
      </c>
      <c r="J392">
        <v>350</v>
      </c>
      <c r="K392">
        <v>0</v>
      </c>
      <c r="L392" t="s">
        <v>20</v>
      </c>
      <c r="M392">
        <f>I392*J392*(1-K392/100)</f>
        <v>1400</v>
      </c>
      <c r="N392" t="str">
        <f>TEXT(B392,"yyyy-mm")</f>
        <v>2025-09</v>
      </c>
    </row>
    <row r="393" spans="1:14" x14ac:dyDescent="0.3">
      <c r="A393">
        <v>5052</v>
      </c>
      <c r="B393" s="1">
        <v>45675</v>
      </c>
      <c r="C393">
        <v>1024</v>
      </c>
      <c r="D393" t="s">
        <v>50</v>
      </c>
      <c r="E393" t="s">
        <v>33</v>
      </c>
      <c r="F393" t="s">
        <v>27</v>
      </c>
      <c r="G393" t="s">
        <v>30</v>
      </c>
      <c r="H393" t="s">
        <v>31</v>
      </c>
      <c r="I393">
        <v>3</v>
      </c>
      <c r="J393">
        <v>350</v>
      </c>
      <c r="K393">
        <v>0</v>
      </c>
      <c r="L393" t="s">
        <v>25</v>
      </c>
      <c r="M393">
        <f>I393*J393*(1-K393/100)</f>
        <v>1050</v>
      </c>
      <c r="N393" t="str">
        <f>TEXT(B393,"yyyy-mm")</f>
        <v>2025-01</v>
      </c>
    </row>
    <row r="394" spans="1:14" x14ac:dyDescent="0.3">
      <c r="A394">
        <v>5085</v>
      </c>
      <c r="B394" s="1">
        <v>45689</v>
      </c>
      <c r="C394">
        <v>1024</v>
      </c>
      <c r="D394" t="s">
        <v>50</v>
      </c>
      <c r="E394" t="s">
        <v>33</v>
      </c>
      <c r="F394" t="s">
        <v>27</v>
      </c>
      <c r="G394" t="s">
        <v>55</v>
      </c>
      <c r="H394" t="s">
        <v>16</v>
      </c>
      <c r="I394">
        <v>2</v>
      </c>
      <c r="J394">
        <v>2500</v>
      </c>
      <c r="K394">
        <v>0</v>
      </c>
      <c r="L394" t="s">
        <v>17</v>
      </c>
      <c r="M394">
        <f>I394*J394*(1-K394/100)</f>
        <v>5000</v>
      </c>
      <c r="N394" t="str">
        <f>TEXT(B394,"yyyy-mm")</f>
        <v>2025-02</v>
      </c>
    </row>
    <row r="395" spans="1:14" x14ac:dyDescent="0.3">
      <c r="A395">
        <v>5178</v>
      </c>
      <c r="B395" s="1">
        <v>45718</v>
      </c>
      <c r="C395">
        <v>1024</v>
      </c>
      <c r="D395" t="s">
        <v>50</v>
      </c>
      <c r="E395" t="s">
        <v>33</v>
      </c>
      <c r="F395" t="s">
        <v>27</v>
      </c>
      <c r="G395" t="s">
        <v>30</v>
      </c>
      <c r="H395" t="s">
        <v>31</v>
      </c>
      <c r="I395">
        <v>2</v>
      </c>
      <c r="J395">
        <v>350</v>
      </c>
      <c r="K395">
        <v>0</v>
      </c>
      <c r="L395" t="s">
        <v>17</v>
      </c>
      <c r="M395">
        <f>I395*J395*(1-K395/100)</f>
        <v>700</v>
      </c>
      <c r="N395" t="str">
        <f>TEXT(B395,"yyyy-mm")</f>
        <v>2025-03</v>
      </c>
    </row>
    <row r="396" spans="1:14" x14ac:dyDescent="0.3">
      <c r="A396">
        <v>5581</v>
      </c>
      <c r="B396" s="1">
        <v>45876</v>
      </c>
      <c r="C396">
        <v>1024</v>
      </c>
      <c r="D396" t="s">
        <v>50</v>
      </c>
      <c r="E396" t="s">
        <v>33</v>
      </c>
      <c r="F396" t="s">
        <v>27</v>
      </c>
      <c r="G396" t="s">
        <v>65</v>
      </c>
      <c r="H396" t="s">
        <v>16</v>
      </c>
      <c r="I396">
        <v>2</v>
      </c>
      <c r="J396">
        <v>12000</v>
      </c>
      <c r="K396">
        <v>0</v>
      </c>
      <c r="L396" t="s">
        <v>20</v>
      </c>
      <c r="M396">
        <f>I396*J396*(1-K396/100)</f>
        <v>24000</v>
      </c>
      <c r="N396" t="str">
        <f>TEXT(B396,"yyyy-mm")</f>
        <v>2025-08</v>
      </c>
    </row>
    <row r="397" spans="1:14" x14ac:dyDescent="0.3">
      <c r="A397">
        <v>5759</v>
      </c>
      <c r="B397" s="1">
        <v>45941</v>
      </c>
      <c r="C397">
        <v>1024</v>
      </c>
      <c r="D397" t="s">
        <v>50</v>
      </c>
      <c r="E397" t="s">
        <v>33</v>
      </c>
      <c r="F397" t="s">
        <v>27</v>
      </c>
      <c r="G397" t="s">
        <v>40</v>
      </c>
      <c r="H397" t="s">
        <v>38</v>
      </c>
      <c r="I397">
        <v>2</v>
      </c>
      <c r="J397">
        <v>900</v>
      </c>
      <c r="K397">
        <v>0</v>
      </c>
      <c r="L397" t="s">
        <v>17</v>
      </c>
      <c r="M397">
        <f>I397*J397*(1-K397/100)</f>
        <v>1800</v>
      </c>
      <c r="N397" t="str">
        <f>TEXT(B397,"yyyy-mm")</f>
        <v>2025-10</v>
      </c>
    </row>
    <row r="398" spans="1:14" x14ac:dyDescent="0.3">
      <c r="A398">
        <v>5916</v>
      </c>
      <c r="B398" s="1">
        <v>45996</v>
      </c>
      <c r="C398">
        <v>1024</v>
      </c>
      <c r="D398" t="s">
        <v>50</v>
      </c>
      <c r="E398" t="s">
        <v>33</v>
      </c>
      <c r="F398" t="s">
        <v>27</v>
      </c>
      <c r="G398" t="s">
        <v>65</v>
      </c>
      <c r="H398" t="s">
        <v>16</v>
      </c>
      <c r="I398">
        <v>2</v>
      </c>
      <c r="J398">
        <v>12000</v>
      </c>
      <c r="K398">
        <v>10</v>
      </c>
      <c r="L398" t="s">
        <v>17</v>
      </c>
      <c r="M398">
        <f>I398*J398*(1-K398/100)</f>
        <v>21600</v>
      </c>
      <c r="N398" t="str">
        <f>TEXT(B398,"yyyy-mm")</f>
        <v>2025-12</v>
      </c>
    </row>
    <row r="399" spans="1:14" x14ac:dyDescent="0.3">
      <c r="A399">
        <v>5020</v>
      </c>
      <c r="B399" s="1">
        <v>45663</v>
      </c>
      <c r="C399">
        <v>1024</v>
      </c>
      <c r="D399" t="s">
        <v>50</v>
      </c>
      <c r="E399" t="s">
        <v>33</v>
      </c>
      <c r="F399" t="s">
        <v>27</v>
      </c>
      <c r="G399" t="s">
        <v>24</v>
      </c>
      <c r="H399" t="s">
        <v>16</v>
      </c>
      <c r="I399">
        <v>1</v>
      </c>
      <c r="J399">
        <v>22000</v>
      </c>
      <c r="K399">
        <v>0</v>
      </c>
      <c r="L399" t="s">
        <v>43</v>
      </c>
      <c r="M399">
        <f>I399*J399*(1-K399/100)</f>
        <v>22000</v>
      </c>
      <c r="N399" t="str">
        <f>TEXT(B399,"yyyy-mm")</f>
        <v>2025-01</v>
      </c>
    </row>
    <row r="400" spans="1:14" x14ac:dyDescent="0.3">
      <c r="A400">
        <v>5293</v>
      </c>
      <c r="B400" s="1">
        <v>45766</v>
      </c>
      <c r="C400">
        <v>1024</v>
      </c>
      <c r="D400" t="s">
        <v>50</v>
      </c>
      <c r="E400" t="s">
        <v>33</v>
      </c>
      <c r="F400" t="s">
        <v>27</v>
      </c>
      <c r="G400" t="s">
        <v>15</v>
      </c>
      <c r="H400" t="s">
        <v>16</v>
      </c>
      <c r="I400">
        <v>1</v>
      </c>
      <c r="J400">
        <v>18000</v>
      </c>
      <c r="K400">
        <v>10</v>
      </c>
      <c r="L400" t="s">
        <v>34</v>
      </c>
      <c r="M400">
        <f>I400*J400*(1-K400/100)</f>
        <v>16200</v>
      </c>
      <c r="N400" t="str">
        <f>TEXT(B400,"yyyy-mm")</f>
        <v>2025-04</v>
      </c>
    </row>
    <row r="401" spans="1:14" x14ac:dyDescent="0.3">
      <c r="A401">
        <v>5712</v>
      </c>
      <c r="B401" s="1">
        <v>45926</v>
      </c>
      <c r="C401">
        <v>1024</v>
      </c>
      <c r="D401" t="s">
        <v>50</v>
      </c>
      <c r="E401" t="s">
        <v>33</v>
      </c>
      <c r="F401" t="s">
        <v>27</v>
      </c>
      <c r="G401" t="s">
        <v>65</v>
      </c>
      <c r="H401" t="s">
        <v>16</v>
      </c>
      <c r="I401">
        <v>1</v>
      </c>
      <c r="J401">
        <v>12000</v>
      </c>
      <c r="K401">
        <v>0</v>
      </c>
      <c r="L401" t="s">
        <v>43</v>
      </c>
      <c r="M401">
        <f>I401*J401*(1-K401/100)</f>
        <v>12000</v>
      </c>
      <c r="N401" t="str">
        <f>TEXT(B401,"yyyy-mm")</f>
        <v>2025-09</v>
      </c>
    </row>
    <row r="402" spans="1:14" x14ac:dyDescent="0.3">
      <c r="A402">
        <v>5834</v>
      </c>
      <c r="B402" s="1">
        <v>45965</v>
      </c>
      <c r="C402">
        <v>1024</v>
      </c>
      <c r="D402" t="s">
        <v>50</v>
      </c>
      <c r="E402" t="s">
        <v>33</v>
      </c>
      <c r="F402" t="s">
        <v>27</v>
      </c>
      <c r="G402" t="s">
        <v>55</v>
      </c>
      <c r="H402" t="s">
        <v>16</v>
      </c>
      <c r="I402">
        <v>1</v>
      </c>
      <c r="J402">
        <v>2500</v>
      </c>
      <c r="K402">
        <v>5</v>
      </c>
      <c r="L402" t="s">
        <v>20</v>
      </c>
      <c r="M402">
        <f>I402*J402*(1-K402/100)</f>
        <v>2375</v>
      </c>
      <c r="N402" t="str">
        <f>TEXT(B402,"yyyy-mm")</f>
        <v>2025-11</v>
      </c>
    </row>
    <row r="403" spans="1:14" x14ac:dyDescent="0.3">
      <c r="A403">
        <v>5009</v>
      </c>
      <c r="B403" s="1">
        <v>45660</v>
      </c>
      <c r="C403">
        <v>1025</v>
      </c>
      <c r="D403" t="s">
        <v>18</v>
      </c>
      <c r="E403" t="s">
        <v>13</v>
      </c>
      <c r="F403" t="s">
        <v>14</v>
      </c>
      <c r="G403" t="s">
        <v>37</v>
      </c>
      <c r="H403" t="s">
        <v>38</v>
      </c>
      <c r="I403">
        <v>5</v>
      </c>
      <c r="J403">
        <v>7500</v>
      </c>
      <c r="K403">
        <v>0</v>
      </c>
      <c r="L403" t="s">
        <v>17</v>
      </c>
      <c r="M403">
        <f>I403*J403*(1-K403/100)</f>
        <v>37500</v>
      </c>
      <c r="N403" t="str">
        <f>TEXT(B403,"yyyy-mm")</f>
        <v>2025-01</v>
      </c>
    </row>
    <row r="404" spans="1:14" x14ac:dyDescent="0.3">
      <c r="A404">
        <v>5462</v>
      </c>
      <c r="B404" s="1">
        <v>45834</v>
      </c>
      <c r="C404">
        <v>1025</v>
      </c>
      <c r="D404" t="s">
        <v>18</v>
      </c>
      <c r="E404" t="s">
        <v>13</v>
      </c>
      <c r="F404" t="s">
        <v>14</v>
      </c>
      <c r="G404" t="s">
        <v>40</v>
      </c>
      <c r="H404" t="s">
        <v>38</v>
      </c>
      <c r="I404">
        <v>5</v>
      </c>
      <c r="J404">
        <v>900</v>
      </c>
      <c r="K404">
        <v>0</v>
      </c>
      <c r="L404" t="s">
        <v>17</v>
      </c>
      <c r="M404">
        <f>I404*J404*(1-K404/100)</f>
        <v>4500</v>
      </c>
      <c r="N404" t="str">
        <f>TEXT(B404,"yyyy-mm")</f>
        <v>2025-06</v>
      </c>
    </row>
    <row r="405" spans="1:14" x14ac:dyDescent="0.3">
      <c r="A405">
        <v>5535</v>
      </c>
      <c r="B405" s="1">
        <v>45857</v>
      </c>
      <c r="C405">
        <v>1025</v>
      </c>
      <c r="D405" t="s">
        <v>18</v>
      </c>
      <c r="E405" t="s">
        <v>13</v>
      </c>
      <c r="F405" t="s">
        <v>14</v>
      </c>
      <c r="G405" t="s">
        <v>24</v>
      </c>
      <c r="H405" t="s">
        <v>16</v>
      </c>
      <c r="I405">
        <v>5</v>
      </c>
      <c r="J405">
        <v>22000</v>
      </c>
      <c r="K405">
        <v>0</v>
      </c>
      <c r="L405" t="s">
        <v>25</v>
      </c>
      <c r="M405">
        <f>I405*J405*(1-K405/100)</f>
        <v>110000</v>
      </c>
      <c r="N405" t="str">
        <f>TEXT(B405,"yyyy-mm")</f>
        <v>2025-07</v>
      </c>
    </row>
    <row r="406" spans="1:14" x14ac:dyDescent="0.3">
      <c r="A406">
        <v>5547</v>
      </c>
      <c r="B406" s="1">
        <v>45860</v>
      </c>
      <c r="C406">
        <v>1025</v>
      </c>
      <c r="D406" t="s">
        <v>18</v>
      </c>
      <c r="E406" t="s">
        <v>13</v>
      </c>
      <c r="F406" t="s">
        <v>14</v>
      </c>
      <c r="G406" t="s">
        <v>15</v>
      </c>
      <c r="H406" t="s">
        <v>16</v>
      </c>
      <c r="I406">
        <v>5</v>
      </c>
      <c r="J406">
        <v>18000</v>
      </c>
      <c r="K406">
        <v>5</v>
      </c>
      <c r="L406" t="s">
        <v>20</v>
      </c>
      <c r="M406">
        <f>I406*J406*(1-K406/100)</f>
        <v>85500</v>
      </c>
      <c r="N406" t="str">
        <f>TEXT(B406,"yyyy-mm")</f>
        <v>2025-07</v>
      </c>
    </row>
    <row r="407" spans="1:14" x14ac:dyDescent="0.3">
      <c r="A407">
        <v>5840</v>
      </c>
      <c r="B407" s="1">
        <v>45966</v>
      </c>
      <c r="C407">
        <v>1025</v>
      </c>
      <c r="D407" t="s">
        <v>18</v>
      </c>
      <c r="E407" t="s">
        <v>13</v>
      </c>
      <c r="F407" t="s">
        <v>14</v>
      </c>
      <c r="G407" t="s">
        <v>15</v>
      </c>
      <c r="H407" t="s">
        <v>16</v>
      </c>
      <c r="I407">
        <v>5</v>
      </c>
      <c r="J407">
        <v>18000</v>
      </c>
      <c r="K407">
        <v>0</v>
      </c>
      <c r="L407" t="s">
        <v>43</v>
      </c>
      <c r="M407">
        <f>I407*J407*(1-K407/100)</f>
        <v>90000</v>
      </c>
      <c r="N407" t="str">
        <f>TEXT(B407,"yyyy-mm")</f>
        <v>2025-11</v>
      </c>
    </row>
    <row r="408" spans="1:14" x14ac:dyDescent="0.3">
      <c r="A408">
        <v>5892</v>
      </c>
      <c r="B408" s="1">
        <v>45989</v>
      </c>
      <c r="C408">
        <v>1025</v>
      </c>
      <c r="D408" t="s">
        <v>18</v>
      </c>
      <c r="E408" t="s">
        <v>13</v>
      </c>
      <c r="F408" t="s">
        <v>14</v>
      </c>
      <c r="G408" t="s">
        <v>40</v>
      </c>
      <c r="H408" t="s">
        <v>38</v>
      </c>
      <c r="I408">
        <v>5</v>
      </c>
      <c r="J408">
        <v>900</v>
      </c>
      <c r="K408">
        <v>0</v>
      </c>
      <c r="L408" t="s">
        <v>20</v>
      </c>
      <c r="M408">
        <f>I408*J408*(1-K408/100)</f>
        <v>4500</v>
      </c>
      <c r="N408" t="str">
        <f>TEXT(B408,"yyyy-mm")</f>
        <v>2025-11</v>
      </c>
    </row>
    <row r="409" spans="1:14" x14ac:dyDescent="0.3">
      <c r="A409">
        <v>5002</v>
      </c>
      <c r="B409" s="1">
        <v>45659</v>
      </c>
      <c r="C409">
        <v>1025</v>
      </c>
      <c r="D409" t="s">
        <v>18</v>
      </c>
      <c r="E409" t="s">
        <v>13</v>
      </c>
      <c r="F409" t="s">
        <v>14</v>
      </c>
      <c r="G409" t="s">
        <v>19</v>
      </c>
      <c r="H409" t="s">
        <v>16</v>
      </c>
      <c r="I409">
        <v>4</v>
      </c>
      <c r="J409">
        <v>9500</v>
      </c>
      <c r="K409">
        <v>0</v>
      </c>
      <c r="L409" t="s">
        <v>20</v>
      </c>
      <c r="M409">
        <f>I409*J409*(1-K409/100)</f>
        <v>38000</v>
      </c>
      <c r="N409" t="str">
        <f>TEXT(B409,"yyyy-mm")</f>
        <v>2025-01</v>
      </c>
    </row>
    <row r="410" spans="1:14" x14ac:dyDescent="0.3">
      <c r="A410">
        <v>5284</v>
      </c>
      <c r="B410" s="1">
        <v>45763</v>
      </c>
      <c r="C410">
        <v>1025</v>
      </c>
      <c r="D410" t="s">
        <v>18</v>
      </c>
      <c r="E410" t="s">
        <v>13</v>
      </c>
      <c r="F410" t="s">
        <v>14</v>
      </c>
      <c r="G410" t="s">
        <v>15</v>
      </c>
      <c r="H410" t="s">
        <v>16</v>
      </c>
      <c r="I410">
        <v>4</v>
      </c>
      <c r="J410">
        <v>18000</v>
      </c>
      <c r="K410">
        <v>10</v>
      </c>
      <c r="L410" t="s">
        <v>20</v>
      </c>
      <c r="M410">
        <f>I410*J410*(1-K410/100)</f>
        <v>64800</v>
      </c>
      <c r="N410" t="str">
        <f>TEXT(B410,"yyyy-mm")</f>
        <v>2025-04</v>
      </c>
    </row>
    <row r="411" spans="1:14" x14ac:dyDescent="0.3">
      <c r="A411">
        <v>5760</v>
      </c>
      <c r="B411" s="1">
        <v>45941</v>
      </c>
      <c r="C411">
        <v>1025</v>
      </c>
      <c r="D411" t="s">
        <v>18</v>
      </c>
      <c r="E411" t="s">
        <v>13</v>
      </c>
      <c r="F411" t="s">
        <v>14</v>
      </c>
      <c r="G411" t="s">
        <v>65</v>
      </c>
      <c r="H411" t="s">
        <v>16</v>
      </c>
      <c r="I411">
        <v>4</v>
      </c>
      <c r="J411">
        <v>12000</v>
      </c>
      <c r="K411">
        <v>0</v>
      </c>
      <c r="L411" t="s">
        <v>25</v>
      </c>
      <c r="M411">
        <f>I411*J411*(1-K411/100)</f>
        <v>48000</v>
      </c>
      <c r="N411" t="str">
        <f>TEXT(B411,"yyyy-mm")</f>
        <v>2025-10</v>
      </c>
    </row>
    <row r="412" spans="1:14" x14ac:dyDescent="0.3">
      <c r="A412">
        <v>5040</v>
      </c>
      <c r="B412" s="1">
        <v>45671</v>
      </c>
      <c r="C412">
        <v>1025</v>
      </c>
      <c r="D412" t="s">
        <v>18</v>
      </c>
      <c r="E412" t="s">
        <v>13</v>
      </c>
      <c r="F412" t="s">
        <v>14</v>
      </c>
      <c r="G412" t="s">
        <v>42</v>
      </c>
      <c r="H412" t="s">
        <v>31</v>
      </c>
      <c r="I412">
        <v>3</v>
      </c>
      <c r="J412">
        <v>200</v>
      </c>
      <c r="K412">
        <v>0</v>
      </c>
      <c r="L412" t="s">
        <v>34</v>
      </c>
      <c r="M412">
        <f>I412*J412*(1-K412/100)</f>
        <v>600</v>
      </c>
      <c r="N412" t="str">
        <f>TEXT(B412,"yyyy-mm")</f>
        <v>2025-01</v>
      </c>
    </row>
    <row r="413" spans="1:14" x14ac:dyDescent="0.3">
      <c r="A413">
        <v>5180</v>
      </c>
      <c r="B413" s="1">
        <v>45718</v>
      </c>
      <c r="C413">
        <v>1025</v>
      </c>
      <c r="D413" t="s">
        <v>18</v>
      </c>
      <c r="E413" t="s">
        <v>13</v>
      </c>
      <c r="F413" t="s">
        <v>14</v>
      </c>
      <c r="G413" t="s">
        <v>15</v>
      </c>
      <c r="H413" t="s">
        <v>16</v>
      </c>
      <c r="I413">
        <v>3</v>
      </c>
      <c r="J413">
        <v>18000</v>
      </c>
      <c r="K413">
        <v>5</v>
      </c>
      <c r="L413" t="s">
        <v>34</v>
      </c>
      <c r="M413">
        <f>I413*J413*(1-K413/100)</f>
        <v>51300</v>
      </c>
      <c r="N413" t="str">
        <f>TEXT(B413,"yyyy-mm")</f>
        <v>2025-03</v>
      </c>
    </row>
    <row r="414" spans="1:14" x14ac:dyDescent="0.3">
      <c r="A414">
        <v>5185</v>
      </c>
      <c r="B414" s="1">
        <v>45720</v>
      </c>
      <c r="C414">
        <v>1025</v>
      </c>
      <c r="D414" t="s">
        <v>18</v>
      </c>
      <c r="E414" t="s">
        <v>13</v>
      </c>
      <c r="F414" t="s">
        <v>14</v>
      </c>
      <c r="G414" t="s">
        <v>65</v>
      </c>
      <c r="H414" t="s">
        <v>16</v>
      </c>
      <c r="I414">
        <v>3</v>
      </c>
      <c r="J414">
        <v>12000</v>
      </c>
      <c r="K414">
        <v>5</v>
      </c>
      <c r="L414" t="s">
        <v>43</v>
      </c>
      <c r="M414">
        <f>I414*J414*(1-K414/100)</f>
        <v>34200</v>
      </c>
      <c r="N414" t="str">
        <f>TEXT(B414,"yyyy-mm")</f>
        <v>2025-03</v>
      </c>
    </row>
    <row r="415" spans="1:14" x14ac:dyDescent="0.3">
      <c r="A415">
        <v>5419</v>
      </c>
      <c r="B415" s="1">
        <v>45818</v>
      </c>
      <c r="C415">
        <v>1025</v>
      </c>
      <c r="D415" t="s">
        <v>18</v>
      </c>
      <c r="E415" t="s">
        <v>13</v>
      </c>
      <c r="F415" t="s">
        <v>14</v>
      </c>
      <c r="G415" t="s">
        <v>57</v>
      </c>
      <c r="H415" t="s">
        <v>38</v>
      </c>
      <c r="I415">
        <v>3</v>
      </c>
      <c r="J415">
        <v>16000</v>
      </c>
      <c r="K415">
        <v>5</v>
      </c>
      <c r="L415" t="s">
        <v>34</v>
      </c>
      <c r="M415">
        <f>I415*J415*(1-K415/100)</f>
        <v>45600</v>
      </c>
      <c r="N415" t="str">
        <f>TEXT(B415,"yyyy-mm")</f>
        <v>2025-06</v>
      </c>
    </row>
    <row r="416" spans="1:14" x14ac:dyDescent="0.3">
      <c r="A416">
        <v>5566</v>
      </c>
      <c r="B416" s="1">
        <v>45872</v>
      </c>
      <c r="C416">
        <v>1025</v>
      </c>
      <c r="D416" t="s">
        <v>18</v>
      </c>
      <c r="E416" t="s">
        <v>13</v>
      </c>
      <c r="F416" t="s">
        <v>14</v>
      </c>
      <c r="G416" t="s">
        <v>40</v>
      </c>
      <c r="H416" t="s">
        <v>38</v>
      </c>
      <c r="I416">
        <v>3</v>
      </c>
      <c r="J416">
        <v>900</v>
      </c>
      <c r="K416">
        <v>5</v>
      </c>
      <c r="L416" t="s">
        <v>34</v>
      </c>
      <c r="M416">
        <f>I416*J416*(1-K416/100)</f>
        <v>2565</v>
      </c>
      <c r="N416" t="str">
        <f>TEXT(B416,"yyyy-mm")</f>
        <v>2025-08</v>
      </c>
    </row>
    <row r="417" spans="1:14" x14ac:dyDescent="0.3">
      <c r="A417">
        <v>5925</v>
      </c>
      <c r="B417" s="1">
        <v>45998</v>
      </c>
      <c r="C417">
        <v>1025</v>
      </c>
      <c r="D417" t="s">
        <v>18</v>
      </c>
      <c r="E417" t="s">
        <v>13</v>
      </c>
      <c r="F417" t="s">
        <v>14</v>
      </c>
      <c r="G417" t="s">
        <v>52</v>
      </c>
      <c r="H417" t="s">
        <v>16</v>
      </c>
      <c r="I417">
        <v>3</v>
      </c>
      <c r="J417">
        <v>6000</v>
      </c>
      <c r="K417">
        <v>0</v>
      </c>
      <c r="L417" t="s">
        <v>25</v>
      </c>
      <c r="M417">
        <f>I417*J417*(1-K417/100)</f>
        <v>18000</v>
      </c>
      <c r="N417" t="str">
        <f>TEXT(B417,"yyyy-mm")</f>
        <v>2025-12</v>
      </c>
    </row>
    <row r="418" spans="1:14" x14ac:dyDescent="0.3">
      <c r="A418">
        <v>5195</v>
      </c>
      <c r="B418" s="1">
        <v>45723</v>
      </c>
      <c r="C418">
        <v>1025</v>
      </c>
      <c r="D418" t="s">
        <v>18</v>
      </c>
      <c r="E418" t="s">
        <v>13</v>
      </c>
      <c r="F418" t="s">
        <v>14</v>
      </c>
      <c r="G418" t="s">
        <v>65</v>
      </c>
      <c r="H418" t="s">
        <v>16</v>
      </c>
      <c r="I418">
        <v>2</v>
      </c>
      <c r="J418">
        <v>12000</v>
      </c>
      <c r="K418">
        <v>0</v>
      </c>
      <c r="L418" t="s">
        <v>25</v>
      </c>
      <c r="M418">
        <f>I418*J418*(1-K418/100)</f>
        <v>24000</v>
      </c>
      <c r="N418" t="str">
        <f>TEXT(B418,"yyyy-mm")</f>
        <v>2025-03</v>
      </c>
    </row>
    <row r="419" spans="1:14" x14ac:dyDescent="0.3">
      <c r="A419">
        <v>5388</v>
      </c>
      <c r="B419" s="1">
        <v>45808</v>
      </c>
      <c r="C419">
        <v>1025</v>
      </c>
      <c r="D419" t="s">
        <v>18</v>
      </c>
      <c r="E419" t="s">
        <v>13</v>
      </c>
      <c r="F419" t="s">
        <v>14</v>
      </c>
      <c r="G419" t="s">
        <v>42</v>
      </c>
      <c r="H419" t="s">
        <v>31</v>
      </c>
      <c r="I419">
        <v>2</v>
      </c>
      <c r="J419">
        <v>200</v>
      </c>
      <c r="K419">
        <v>0</v>
      </c>
      <c r="L419" t="s">
        <v>17</v>
      </c>
      <c r="M419">
        <f>I419*J419*(1-K419/100)</f>
        <v>400</v>
      </c>
      <c r="N419" t="str">
        <f>TEXT(B419,"yyyy-mm")</f>
        <v>2025-05</v>
      </c>
    </row>
    <row r="420" spans="1:14" x14ac:dyDescent="0.3">
      <c r="A420">
        <v>5776</v>
      </c>
      <c r="B420" s="1">
        <v>45947</v>
      </c>
      <c r="C420">
        <v>1025</v>
      </c>
      <c r="D420" t="s">
        <v>18</v>
      </c>
      <c r="E420" t="s">
        <v>13</v>
      </c>
      <c r="F420" t="s">
        <v>14</v>
      </c>
      <c r="G420" t="s">
        <v>36</v>
      </c>
      <c r="H420" t="s">
        <v>16</v>
      </c>
      <c r="I420">
        <v>2</v>
      </c>
      <c r="J420">
        <v>55000</v>
      </c>
      <c r="K420">
        <v>0</v>
      </c>
      <c r="L420" t="s">
        <v>25</v>
      </c>
      <c r="M420">
        <f>I420*J420*(1-K420/100)</f>
        <v>110000</v>
      </c>
      <c r="N420" t="str">
        <f>TEXT(B420,"yyyy-mm")</f>
        <v>2025-10</v>
      </c>
    </row>
    <row r="421" spans="1:14" x14ac:dyDescent="0.3">
      <c r="A421">
        <v>5863</v>
      </c>
      <c r="B421" s="1">
        <v>45974</v>
      </c>
      <c r="C421">
        <v>1025</v>
      </c>
      <c r="D421" t="s">
        <v>18</v>
      </c>
      <c r="E421" t="s">
        <v>13</v>
      </c>
      <c r="F421" t="s">
        <v>14</v>
      </c>
      <c r="G421" t="s">
        <v>15</v>
      </c>
      <c r="H421" t="s">
        <v>16</v>
      </c>
      <c r="I421">
        <v>2</v>
      </c>
      <c r="J421">
        <v>18000</v>
      </c>
      <c r="K421">
        <v>15</v>
      </c>
      <c r="L421" t="s">
        <v>20</v>
      </c>
      <c r="M421">
        <f>I421*J421*(1-K421/100)</f>
        <v>30600</v>
      </c>
      <c r="N421" t="str">
        <f>TEXT(B421,"yyyy-mm")</f>
        <v>2025-11</v>
      </c>
    </row>
    <row r="422" spans="1:14" x14ac:dyDescent="0.3">
      <c r="A422">
        <v>5990</v>
      </c>
      <c r="B422" s="1">
        <v>46019</v>
      </c>
      <c r="C422">
        <v>1025</v>
      </c>
      <c r="D422" t="s">
        <v>18</v>
      </c>
      <c r="E422" t="s">
        <v>13</v>
      </c>
      <c r="F422" t="s">
        <v>14</v>
      </c>
      <c r="G422" t="s">
        <v>19</v>
      </c>
      <c r="H422" t="s">
        <v>16</v>
      </c>
      <c r="I422">
        <v>2</v>
      </c>
      <c r="J422">
        <v>9500</v>
      </c>
      <c r="K422">
        <v>0</v>
      </c>
      <c r="L422" t="s">
        <v>34</v>
      </c>
      <c r="M422">
        <f>I422*J422*(1-K422/100)</f>
        <v>19000</v>
      </c>
      <c r="N422" t="str">
        <f>TEXT(B422,"yyyy-mm")</f>
        <v>2025-12</v>
      </c>
    </row>
    <row r="423" spans="1:14" x14ac:dyDescent="0.3">
      <c r="A423">
        <v>5335</v>
      </c>
      <c r="B423" s="1">
        <v>45780</v>
      </c>
      <c r="C423">
        <v>1025</v>
      </c>
      <c r="D423" t="s">
        <v>18</v>
      </c>
      <c r="E423" t="s">
        <v>13</v>
      </c>
      <c r="F423" t="s">
        <v>14</v>
      </c>
      <c r="G423" t="s">
        <v>30</v>
      </c>
      <c r="H423" t="s">
        <v>31</v>
      </c>
      <c r="I423">
        <v>1</v>
      </c>
      <c r="J423">
        <v>350</v>
      </c>
      <c r="K423">
        <v>0</v>
      </c>
      <c r="L423" t="s">
        <v>43</v>
      </c>
      <c r="M423">
        <f>I423*J423*(1-K423/100)</f>
        <v>350</v>
      </c>
      <c r="N423" t="str">
        <f>TEXT(B423,"yyyy-mm")</f>
        <v>2025-05</v>
      </c>
    </row>
    <row r="424" spans="1:14" x14ac:dyDescent="0.3">
      <c r="A424">
        <v>5575</v>
      </c>
      <c r="B424" s="1">
        <v>45874</v>
      </c>
      <c r="C424">
        <v>1025</v>
      </c>
      <c r="D424" t="s">
        <v>18</v>
      </c>
      <c r="E424" t="s">
        <v>13</v>
      </c>
      <c r="F424" t="s">
        <v>14</v>
      </c>
      <c r="G424" t="s">
        <v>57</v>
      </c>
      <c r="H424" t="s">
        <v>38</v>
      </c>
      <c r="I424">
        <v>1</v>
      </c>
      <c r="J424">
        <v>16000</v>
      </c>
      <c r="K424">
        <v>0</v>
      </c>
      <c r="L424" t="s">
        <v>20</v>
      </c>
      <c r="M424">
        <f>I424*J424*(1-K424/100)</f>
        <v>16000</v>
      </c>
      <c r="N424" t="str">
        <f>TEXT(B424,"yyyy-mm")</f>
        <v>2025-08</v>
      </c>
    </row>
    <row r="425" spans="1:14" x14ac:dyDescent="0.3">
      <c r="A425">
        <v>5656</v>
      </c>
      <c r="B425" s="1">
        <v>45902</v>
      </c>
      <c r="C425">
        <v>1025</v>
      </c>
      <c r="D425" t="s">
        <v>18</v>
      </c>
      <c r="E425" t="s">
        <v>13</v>
      </c>
      <c r="F425" t="s">
        <v>14</v>
      </c>
      <c r="G425" t="s">
        <v>42</v>
      </c>
      <c r="H425" t="s">
        <v>31</v>
      </c>
      <c r="I425">
        <v>1</v>
      </c>
      <c r="J425">
        <v>200</v>
      </c>
      <c r="K425">
        <v>0</v>
      </c>
      <c r="L425" t="s">
        <v>43</v>
      </c>
      <c r="M425">
        <f>I425*J425*(1-K425/100)</f>
        <v>200</v>
      </c>
      <c r="N425" t="str">
        <f>TEXT(B425,"yyyy-mm")</f>
        <v>2025-09</v>
      </c>
    </row>
    <row r="426" spans="1:14" x14ac:dyDescent="0.3">
      <c r="A426">
        <v>5717</v>
      </c>
      <c r="B426" s="1">
        <v>45926</v>
      </c>
      <c r="C426">
        <v>1025</v>
      </c>
      <c r="D426" t="s">
        <v>18</v>
      </c>
      <c r="E426" t="s">
        <v>13</v>
      </c>
      <c r="F426" t="s">
        <v>14</v>
      </c>
      <c r="G426" t="s">
        <v>65</v>
      </c>
      <c r="H426" t="s">
        <v>16</v>
      </c>
      <c r="I426">
        <v>1</v>
      </c>
      <c r="J426">
        <v>12000</v>
      </c>
      <c r="K426">
        <v>5</v>
      </c>
      <c r="L426" t="s">
        <v>34</v>
      </c>
      <c r="M426">
        <f>I426*J426*(1-K426/100)</f>
        <v>11400</v>
      </c>
      <c r="N426" t="str">
        <f>TEXT(B426,"yyyy-mm")</f>
        <v>2025-09</v>
      </c>
    </row>
    <row r="427" spans="1:14" x14ac:dyDescent="0.3">
      <c r="A427">
        <v>5773</v>
      </c>
      <c r="B427" s="1">
        <v>45945</v>
      </c>
      <c r="C427">
        <v>1025</v>
      </c>
      <c r="D427" t="s">
        <v>18</v>
      </c>
      <c r="E427" t="s">
        <v>13</v>
      </c>
      <c r="F427" t="s">
        <v>14</v>
      </c>
      <c r="G427" t="s">
        <v>57</v>
      </c>
      <c r="H427" t="s">
        <v>38</v>
      </c>
      <c r="I427">
        <v>1</v>
      </c>
      <c r="J427">
        <v>16000</v>
      </c>
      <c r="K427">
        <v>5</v>
      </c>
      <c r="L427" t="s">
        <v>17</v>
      </c>
      <c r="M427">
        <f>I427*J427*(1-K427/100)</f>
        <v>15200</v>
      </c>
      <c r="N427" t="str">
        <f>TEXT(B427,"yyyy-mm")</f>
        <v>2025-10</v>
      </c>
    </row>
    <row r="428" spans="1:14" x14ac:dyDescent="0.3">
      <c r="A428">
        <v>5033</v>
      </c>
      <c r="B428" s="1">
        <v>45668</v>
      </c>
      <c r="C428">
        <v>1026</v>
      </c>
      <c r="D428" t="s">
        <v>48</v>
      </c>
      <c r="E428" t="s">
        <v>13</v>
      </c>
      <c r="F428" t="s">
        <v>23</v>
      </c>
      <c r="G428" t="s">
        <v>24</v>
      </c>
      <c r="H428" t="s">
        <v>16</v>
      </c>
      <c r="I428">
        <v>5</v>
      </c>
      <c r="J428">
        <v>22000</v>
      </c>
      <c r="K428">
        <v>0</v>
      </c>
      <c r="L428" t="s">
        <v>20</v>
      </c>
      <c r="M428">
        <f>I428*J428*(1-K428/100)</f>
        <v>110000</v>
      </c>
      <c r="N428" t="str">
        <f>TEXT(B428,"yyyy-mm")</f>
        <v>2025-01</v>
      </c>
    </row>
    <row r="429" spans="1:14" x14ac:dyDescent="0.3">
      <c r="A429">
        <v>5074</v>
      </c>
      <c r="B429" s="1">
        <v>45685</v>
      </c>
      <c r="C429">
        <v>1026</v>
      </c>
      <c r="D429" t="s">
        <v>48</v>
      </c>
      <c r="E429" t="s">
        <v>13</v>
      </c>
      <c r="F429" t="s">
        <v>23</v>
      </c>
      <c r="G429" t="s">
        <v>42</v>
      </c>
      <c r="H429" t="s">
        <v>31</v>
      </c>
      <c r="I429">
        <v>5</v>
      </c>
      <c r="J429">
        <v>200</v>
      </c>
      <c r="K429">
        <v>0</v>
      </c>
      <c r="L429" t="s">
        <v>20</v>
      </c>
      <c r="M429">
        <f>I429*J429*(1-K429/100)</f>
        <v>1000</v>
      </c>
      <c r="N429" t="str">
        <f>TEXT(B429,"yyyy-mm")</f>
        <v>2025-01</v>
      </c>
    </row>
    <row r="430" spans="1:14" x14ac:dyDescent="0.3">
      <c r="A430">
        <v>5387</v>
      </c>
      <c r="B430" s="1">
        <v>45808</v>
      </c>
      <c r="C430">
        <v>1026</v>
      </c>
      <c r="D430" t="s">
        <v>48</v>
      </c>
      <c r="E430" t="s">
        <v>13</v>
      </c>
      <c r="F430" t="s">
        <v>23</v>
      </c>
      <c r="G430" t="s">
        <v>40</v>
      </c>
      <c r="H430" t="s">
        <v>38</v>
      </c>
      <c r="I430">
        <v>5</v>
      </c>
      <c r="J430">
        <v>900</v>
      </c>
      <c r="K430">
        <v>5</v>
      </c>
      <c r="L430" t="s">
        <v>43</v>
      </c>
      <c r="M430">
        <f>I430*J430*(1-K430/100)</f>
        <v>4275</v>
      </c>
      <c r="N430" t="str">
        <f>TEXT(B430,"yyyy-mm")</f>
        <v>2025-05</v>
      </c>
    </row>
    <row r="431" spans="1:14" x14ac:dyDescent="0.3">
      <c r="A431">
        <v>5770</v>
      </c>
      <c r="B431" s="1">
        <v>45944</v>
      </c>
      <c r="C431">
        <v>1026</v>
      </c>
      <c r="D431" t="s">
        <v>48</v>
      </c>
      <c r="E431" t="s">
        <v>13</v>
      </c>
      <c r="F431" t="s">
        <v>23</v>
      </c>
      <c r="G431" t="s">
        <v>65</v>
      </c>
      <c r="H431" t="s">
        <v>16</v>
      </c>
      <c r="I431">
        <v>5</v>
      </c>
      <c r="J431">
        <v>12000</v>
      </c>
      <c r="K431">
        <v>10</v>
      </c>
      <c r="L431" t="s">
        <v>43</v>
      </c>
      <c r="M431">
        <f>I431*J431*(1-K431/100)</f>
        <v>54000</v>
      </c>
      <c r="N431" t="str">
        <f>TEXT(B431,"yyyy-mm")</f>
        <v>2025-10</v>
      </c>
    </row>
    <row r="432" spans="1:14" x14ac:dyDescent="0.3">
      <c r="A432">
        <v>5924</v>
      </c>
      <c r="B432" s="1">
        <v>45998</v>
      </c>
      <c r="C432">
        <v>1026</v>
      </c>
      <c r="D432" t="s">
        <v>48</v>
      </c>
      <c r="E432" t="s">
        <v>13</v>
      </c>
      <c r="F432" t="s">
        <v>23</v>
      </c>
      <c r="G432" t="s">
        <v>19</v>
      </c>
      <c r="H432" t="s">
        <v>16</v>
      </c>
      <c r="I432">
        <v>5</v>
      </c>
      <c r="J432">
        <v>9500</v>
      </c>
      <c r="K432">
        <v>0</v>
      </c>
      <c r="L432" t="s">
        <v>25</v>
      </c>
      <c r="M432">
        <f>I432*J432*(1-K432/100)</f>
        <v>47500</v>
      </c>
      <c r="N432" t="str">
        <f>TEXT(B432,"yyyy-mm")</f>
        <v>2025-12</v>
      </c>
    </row>
    <row r="433" spans="1:14" x14ac:dyDescent="0.3">
      <c r="A433">
        <v>5137</v>
      </c>
      <c r="B433" s="1">
        <v>45705</v>
      </c>
      <c r="C433">
        <v>1026</v>
      </c>
      <c r="D433" t="s">
        <v>48</v>
      </c>
      <c r="E433" t="s">
        <v>13</v>
      </c>
      <c r="F433" t="s">
        <v>23</v>
      </c>
      <c r="G433" t="s">
        <v>52</v>
      </c>
      <c r="H433" t="s">
        <v>16</v>
      </c>
      <c r="I433">
        <v>4</v>
      </c>
      <c r="J433">
        <v>6000</v>
      </c>
      <c r="K433">
        <v>5</v>
      </c>
      <c r="L433" t="s">
        <v>25</v>
      </c>
      <c r="M433">
        <f>I433*J433*(1-K433/100)</f>
        <v>22800</v>
      </c>
      <c r="N433" t="str">
        <f>TEXT(B433,"yyyy-mm")</f>
        <v>2025-02</v>
      </c>
    </row>
    <row r="434" spans="1:14" x14ac:dyDescent="0.3">
      <c r="A434">
        <v>5196</v>
      </c>
      <c r="B434" s="1">
        <v>45724</v>
      </c>
      <c r="C434">
        <v>1026</v>
      </c>
      <c r="D434" t="s">
        <v>48</v>
      </c>
      <c r="E434" t="s">
        <v>13</v>
      </c>
      <c r="F434" t="s">
        <v>23</v>
      </c>
      <c r="G434" t="s">
        <v>30</v>
      </c>
      <c r="H434" t="s">
        <v>31</v>
      </c>
      <c r="I434">
        <v>4</v>
      </c>
      <c r="J434">
        <v>350</v>
      </c>
      <c r="K434">
        <v>5</v>
      </c>
      <c r="L434" t="s">
        <v>25</v>
      </c>
      <c r="M434">
        <f>I434*J434*(1-K434/100)</f>
        <v>1330</v>
      </c>
      <c r="N434" t="str">
        <f>TEXT(B434,"yyyy-mm")</f>
        <v>2025-03</v>
      </c>
    </row>
    <row r="435" spans="1:14" x14ac:dyDescent="0.3">
      <c r="A435">
        <v>5541</v>
      </c>
      <c r="B435" s="1">
        <v>45859</v>
      </c>
      <c r="C435">
        <v>1026</v>
      </c>
      <c r="D435" t="s">
        <v>48</v>
      </c>
      <c r="E435" t="s">
        <v>13</v>
      </c>
      <c r="F435" t="s">
        <v>23</v>
      </c>
      <c r="G435" t="s">
        <v>40</v>
      </c>
      <c r="H435" t="s">
        <v>38</v>
      </c>
      <c r="I435">
        <v>4</v>
      </c>
      <c r="J435">
        <v>900</v>
      </c>
      <c r="K435">
        <v>0</v>
      </c>
      <c r="L435" t="s">
        <v>34</v>
      </c>
      <c r="M435">
        <f>I435*J435*(1-K435/100)</f>
        <v>3600</v>
      </c>
      <c r="N435" t="str">
        <f>TEXT(B435,"yyyy-mm")</f>
        <v>2025-07</v>
      </c>
    </row>
    <row r="436" spans="1:14" x14ac:dyDescent="0.3">
      <c r="A436">
        <v>5144</v>
      </c>
      <c r="B436" s="1">
        <v>45707</v>
      </c>
      <c r="C436">
        <v>1026</v>
      </c>
      <c r="D436" t="s">
        <v>48</v>
      </c>
      <c r="E436" t="s">
        <v>13</v>
      </c>
      <c r="F436" t="s">
        <v>23</v>
      </c>
      <c r="G436" t="s">
        <v>55</v>
      </c>
      <c r="H436" t="s">
        <v>16</v>
      </c>
      <c r="I436">
        <v>3</v>
      </c>
      <c r="J436">
        <v>2500</v>
      </c>
      <c r="K436">
        <v>15</v>
      </c>
      <c r="L436" t="s">
        <v>34</v>
      </c>
      <c r="M436">
        <f>I436*J436*(1-K436/100)</f>
        <v>6375</v>
      </c>
      <c r="N436" t="str">
        <f>TEXT(B436,"yyyy-mm")</f>
        <v>2025-02</v>
      </c>
    </row>
    <row r="437" spans="1:14" x14ac:dyDescent="0.3">
      <c r="A437">
        <v>5378</v>
      </c>
      <c r="B437" s="1">
        <v>45803</v>
      </c>
      <c r="C437">
        <v>1026</v>
      </c>
      <c r="D437" t="s">
        <v>48</v>
      </c>
      <c r="E437" t="s">
        <v>13</v>
      </c>
      <c r="F437" t="s">
        <v>23</v>
      </c>
      <c r="G437" t="s">
        <v>57</v>
      </c>
      <c r="H437" t="s">
        <v>38</v>
      </c>
      <c r="I437">
        <v>3</v>
      </c>
      <c r="J437">
        <v>16000</v>
      </c>
      <c r="K437">
        <v>10</v>
      </c>
      <c r="L437" t="s">
        <v>17</v>
      </c>
      <c r="M437">
        <f>I437*J437*(1-K437/100)</f>
        <v>43200</v>
      </c>
      <c r="N437" t="str">
        <f>TEXT(B437,"yyyy-mm")</f>
        <v>2025-05</v>
      </c>
    </row>
    <row r="438" spans="1:14" x14ac:dyDescent="0.3">
      <c r="A438">
        <v>5950</v>
      </c>
      <c r="B438" s="1">
        <v>46007</v>
      </c>
      <c r="C438">
        <v>1026</v>
      </c>
      <c r="D438" t="s">
        <v>48</v>
      </c>
      <c r="E438" t="s">
        <v>13</v>
      </c>
      <c r="F438" t="s">
        <v>23</v>
      </c>
      <c r="G438" t="s">
        <v>55</v>
      </c>
      <c r="H438" t="s">
        <v>16</v>
      </c>
      <c r="I438">
        <v>3</v>
      </c>
      <c r="J438">
        <v>2500</v>
      </c>
      <c r="K438">
        <v>0</v>
      </c>
      <c r="L438" t="s">
        <v>25</v>
      </c>
      <c r="M438">
        <f>I438*J438*(1-K438/100)</f>
        <v>7500</v>
      </c>
      <c r="N438" t="str">
        <f>TEXT(B438,"yyyy-mm")</f>
        <v>2025-12</v>
      </c>
    </row>
    <row r="439" spans="1:14" x14ac:dyDescent="0.3">
      <c r="A439">
        <v>5441</v>
      </c>
      <c r="B439" s="1">
        <v>45826</v>
      </c>
      <c r="C439">
        <v>1026</v>
      </c>
      <c r="D439" t="s">
        <v>48</v>
      </c>
      <c r="E439" t="s">
        <v>13</v>
      </c>
      <c r="F439" t="s">
        <v>23</v>
      </c>
      <c r="G439" t="s">
        <v>55</v>
      </c>
      <c r="H439" t="s">
        <v>16</v>
      </c>
      <c r="I439">
        <v>2</v>
      </c>
      <c r="J439">
        <v>2500</v>
      </c>
      <c r="K439">
        <v>10</v>
      </c>
      <c r="L439" t="s">
        <v>43</v>
      </c>
      <c r="M439">
        <f>I439*J439*(1-K439/100)</f>
        <v>4500</v>
      </c>
      <c r="N439" t="str">
        <f>TEXT(B439,"yyyy-mm")</f>
        <v>2025-06</v>
      </c>
    </row>
    <row r="440" spans="1:14" x14ac:dyDescent="0.3">
      <c r="A440">
        <v>5976</v>
      </c>
      <c r="B440" s="1">
        <v>46013</v>
      </c>
      <c r="C440">
        <v>1026</v>
      </c>
      <c r="D440" t="s">
        <v>48</v>
      </c>
      <c r="E440" t="s">
        <v>13</v>
      </c>
      <c r="F440" t="s">
        <v>23</v>
      </c>
      <c r="G440" t="s">
        <v>52</v>
      </c>
      <c r="H440" t="s">
        <v>16</v>
      </c>
      <c r="I440">
        <v>2</v>
      </c>
      <c r="J440">
        <v>6000</v>
      </c>
      <c r="K440">
        <v>5</v>
      </c>
      <c r="L440" t="s">
        <v>25</v>
      </c>
      <c r="M440">
        <f>I440*J440*(1-K440/100)</f>
        <v>11400</v>
      </c>
      <c r="N440" t="str">
        <f>TEXT(B440,"yyyy-mm")</f>
        <v>2025-12</v>
      </c>
    </row>
    <row r="441" spans="1:14" x14ac:dyDescent="0.3">
      <c r="A441">
        <v>5019</v>
      </c>
      <c r="B441" s="1">
        <v>45663</v>
      </c>
      <c r="C441">
        <v>1027</v>
      </c>
      <c r="D441" t="s">
        <v>49</v>
      </c>
      <c r="E441" t="s">
        <v>29</v>
      </c>
      <c r="F441" t="s">
        <v>27</v>
      </c>
      <c r="G441" t="s">
        <v>40</v>
      </c>
      <c r="H441" t="s">
        <v>38</v>
      </c>
      <c r="I441">
        <v>5</v>
      </c>
      <c r="J441">
        <v>900</v>
      </c>
      <c r="K441">
        <v>5</v>
      </c>
      <c r="L441" t="s">
        <v>34</v>
      </c>
      <c r="M441">
        <f>I441*J441*(1-K441/100)</f>
        <v>4275</v>
      </c>
      <c r="N441" t="str">
        <f>TEXT(B441,"yyyy-mm")</f>
        <v>2025-01</v>
      </c>
    </row>
    <row r="442" spans="1:14" x14ac:dyDescent="0.3">
      <c r="A442">
        <v>5343</v>
      </c>
      <c r="B442" s="1">
        <v>45788</v>
      </c>
      <c r="C442">
        <v>1027</v>
      </c>
      <c r="D442" t="s">
        <v>49</v>
      </c>
      <c r="E442" t="s">
        <v>29</v>
      </c>
      <c r="F442" t="s">
        <v>27</v>
      </c>
      <c r="G442" t="s">
        <v>42</v>
      </c>
      <c r="H442" t="s">
        <v>31</v>
      </c>
      <c r="I442">
        <v>5</v>
      </c>
      <c r="J442">
        <v>200</v>
      </c>
      <c r="K442">
        <v>0</v>
      </c>
      <c r="L442" t="s">
        <v>34</v>
      </c>
      <c r="M442">
        <f>I442*J442*(1-K442/100)</f>
        <v>1000</v>
      </c>
      <c r="N442" t="str">
        <f>TEXT(B442,"yyyy-mm")</f>
        <v>2025-05</v>
      </c>
    </row>
    <row r="443" spans="1:14" x14ac:dyDescent="0.3">
      <c r="A443">
        <v>5857</v>
      </c>
      <c r="B443" s="1">
        <v>45971</v>
      </c>
      <c r="C443">
        <v>1027</v>
      </c>
      <c r="D443" t="s">
        <v>49</v>
      </c>
      <c r="E443" t="s">
        <v>29</v>
      </c>
      <c r="F443" t="s">
        <v>27</v>
      </c>
      <c r="G443" t="s">
        <v>57</v>
      </c>
      <c r="H443" t="s">
        <v>38</v>
      </c>
      <c r="I443">
        <v>5</v>
      </c>
      <c r="J443">
        <v>16000</v>
      </c>
      <c r="K443">
        <v>0</v>
      </c>
      <c r="L443" t="s">
        <v>43</v>
      </c>
      <c r="M443">
        <f>I443*J443*(1-K443/100)</f>
        <v>80000</v>
      </c>
      <c r="N443" t="str">
        <f>TEXT(B443,"yyyy-mm")</f>
        <v>2025-11</v>
      </c>
    </row>
    <row r="444" spans="1:14" x14ac:dyDescent="0.3">
      <c r="A444">
        <v>5624</v>
      </c>
      <c r="B444" s="1">
        <v>45890</v>
      </c>
      <c r="C444">
        <v>1027</v>
      </c>
      <c r="D444" t="s">
        <v>49</v>
      </c>
      <c r="E444" t="s">
        <v>29</v>
      </c>
      <c r="F444" t="s">
        <v>27</v>
      </c>
      <c r="G444" t="s">
        <v>65</v>
      </c>
      <c r="H444" t="s">
        <v>16</v>
      </c>
      <c r="I444">
        <v>4</v>
      </c>
      <c r="J444">
        <v>12000</v>
      </c>
      <c r="K444">
        <v>5</v>
      </c>
      <c r="L444" t="s">
        <v>43</v>
      </c>
      <c r="M444">
        <f>I444*J444*(1-K444/100)</f>
        <v>45600</v>
      </c>
      <c r="N444" t="str">
        <f>TEXT(B444,"yyyy-mm")</f>
        <v>2025-08</v>
      </c>
    </row>
    <row r="445" spans="1:14" x14ac:dyDescent="0.3">
      <c r="A445">
        <v>5835</v>
      </c>
      <c r="B445" s="1">
        <v>45965</v>
      </c>
      <c r="C445">
        <v>1027</v>
      </c>
      <c r="D445" t="s">
        <v>49</v>
      </c>
      <c r="E445" t="s">
        <v>29</v>
      </c>
      <c r="F445" t="s">
        <v>27</v>
      </c>
      <c r="G445" t="s">
        <v>30</v>
      </c>
      <c r="H445" t="s">
        <v>31</v>
      </c>
      <c r="I445">
        <v>4</v>
      </c>
      <c r="J445">
        <v>350</v>
      </c>
      <c r="K445">
        <v>5</v>
      </c>
      <c r="L445" t="s">
        <v>17</v>
      </c>
      <c r="M445">
        <f>I445*J445*(1-K445/100)</f>
        <v>1330</v>
      </c>
      <c r="N445" t="str">
        <f>TEXT(B445,"yyyy-mm")</f>
        <v>2025-11</v>
      </c>
    </row>
    <row r="446" spans="1:14" x14ac:dyDescent="0.3">
      <c r="A446">
        <v>5846</v>
      </c>
      <c r="B446" s="1">
        <v>45968</v>
      </c>
      <c r="C446">
        <v>1027</v>
      </c>
      <c r="D446" t="s">
        <v>49</v>
      </c>
      <c r="E446" t="s">
        <v>29</v>
      </c>
      <c r="F446" t="s">
        <v>27</v>
      </c>
      <c r="G446" t="s">
        <v>42</v>
      </c>
      <c r="H446" t="s">
        <v>31</v>
      </c>
      <c r="I446">
        <v>4</v>
      </c>
      <c r="J446">
        <v>200</v>
      </c>
      <c r="K446">
        <v>10</v>
      </c>
      <c r="L446" t="s">
        <v>34</v>
      </c>
      <c r="M446">
        <f>I446*J446*(1-K446/100)</f>
        <v>720</v>
      </c>
      <c r="N446" t="str">
        <f>TEXT(B446,"yyyy-mm")</f>
        <v>2025-11</v>
      </c>
    </row>
    <row r="447" spans="1:14" x14ac:dyDescent="0.3">
      <c r="A447">
        <v>5173</v>
      </c>
      <c r="B447" s="1">
        <v>45714</v>
      </c>
      <c r="C447">
        <v>1027</v>
      </c>
      <c r="D447" t="s">
        <v>49</v>
      </c>
      <c r="E447" t="s">
        <v>29</v>
      </c>
      <c r="F447" t="s">
        <v>27</v>
      </c>
      <c r="G447" t="s">
        <v>36</v>
      </c>
      <c r="H447" t="s">
        <v>16</v>
      </c>
      <c r="I447">
        <v>3</v>
      </c>
      <c r="J447">
        <v>55000</v>
      </c>
      <c r="K447">
        <v>0</v>
      </c>
      <c r="L447" t="s">
        <v>20</v>
      </c>
      <c r="M447">
        <f>I447*J447*(1-K447/100)</f>
        <v>165000</v>
      </c>
      <c r="N447" t="str">
        <f>TEXT(B447,"yyyy-mm")</f>
        <v>2025-02</v>
      </c>
    </row>
    <row r="448" spans="1:14" x14ac:dyDescent="0.3">
      <c r="A448">
        <v>5590</v>
      </c>
      <c r="B448" s="1">
        <v>45881</v>
      </c>
      <c r="C448">
        <v>1027</v>
      </c>
      <c r="D448" t="s">
        <v>49</v>
      </c>
      <c r="E448" t="s">
        <v>29</v>
      </c>
      <c r="F448" t="s">
        <v>27</v>
      </c>
      <c r="G448" t="s">
        <v>40</v>
      </c>
      <c r="H448" t="s">
        <v>38</v>
      </c>
      <c r="I448">
        <v>3</v>
      </c>
      <c r="J448">
        <v>900</v>
      </c>
      <c r="K448">
        <v>0</v>
      </c>
      <c r="L448" t="s">
        <v>43</v>
      </c>
      <c r="M448">
        <f>I448*J448*(1-K448/100)</f>
        <v>2700</v>
      </c>
      <c r="N448" t="str">
        <f>TEXT(B448,"yyyy-mm")</f>
        <v>2025-08</v>
      </c>
    </row>
    <row r="449" spans="1:14" x14ac:dyDescent="0.3">
      <c r="A449">
        <v>5692</v>
      </c>
      <c r="B449" s="1">
        <v>45920</v>
      </c>
      <c r="C449">
        <v>1027</v>
      </c>
      <c r="D449" t="s">
        <v>49</v>
      </c>
      <c r="E449" t="s">
        <v>29</v>
      </c>
      <c r="F449" t="s">
        <v>27</v>
      </c>
      <c r="G449" t="s">
        <v>30</v>
      </c>
      <c r="H449" t="s">
        <v>31</v>
      </c>
      <c r="I449">
        <v>3</v>
      </c>
      <c r="J449">
        <v>350</v>
      </c>
      <c r="K449">
        <v>10</v>
      </c>
      <c r="L449" t="s">
        <v>43</v>
      </c>
      <c r="M449">
        <f>I449*J449*(1-K449/100)</f>
        <v>945</v>
      </c>
      <c r="N449" t="str">
        <f>TEXT(B449,"yyyy-mm")</f>
        <v>2025-09</v>
      </c>
    </row>
    <row r="450" spans="1:14" x14ac:dyDescent="0.3">
      <c r="A450">
        <v>5707</v>
      </c>
      <c r="B450" s="1">
        <v>45924</v>
      </c>
      <c r="C450">
        <v>1027</v>
      </c>
      <c r="D450" t="s">
        <v>49</v>
      </c>
      <c r="E450" t="s">
        <v>29</v>
      </c>
      <c r="F450" t="s">
        <v>27</v>
      </c>
      <c r="G450" t="s">
        <v>55</v>
      </c>
      <c r="H450" t="s">
        <v>16</v>
      </c>
      <c r="I450">
        <v>3</v>
      </c>
      <c r="J450">
        <v>2500</v>
      </c>
      <c r="K450">
        <v>5</v>
      </c>
      <c r="L450" t="s">
        <v>34</v>
      </c>
      <c r="M450">
        <f>I450*J450*(1-K450/100)</f>
        <v>7125</v>
      </c>
      <c r="N450" t="str">
        <f>TEXT(B450,"yyyy-mm")</f>
        <v>2025-09</v>
      </c>
    </row>
    <row r="451" spans="1:14" x14ac:dyDescent="0.3">
      <c r="A451">
        <v>5073</v>
      </c>
      <c r="B451" s="1">
        <v>45684</v>
      </c>
      <c r="C451">
        <v>1027</v>
      </c>
      <c r="D451" t="s">
        <v>49</v>
      </c>
      <c r="E451" t="s">
        <v>29</v>
      </c>
      <c r="F451" t="s">
        <v>27</v>
      </c>
      <c r="G451" t="s">
        <v>65</v>
      </c>
      <c r="H451" t="s">
        <v>16</v>
      </c>
      <c r="I451">
        <v>2</v>
      </c>
      <c r="J451">
        <v>12000</v>
      </c>
      <c r="K451">
        <v>0</v>
      </c>
      <c r="L451" t="s">
        <v>34</v>
      </c>
      <c r="M451">
        <f>I451*J451*(1-K451/100)</f>
        <v>24000</v>
      </c>
      <c r="N451" t="str">
        <f>TEXT(B451,"yyyy-mm")</f>
        <v>2025-01</v>
      </c>
    </row>
    <row r="452" spans="1:14" x14ac:dyDescent="0.3">
      <c r="A452">
        <v>5740</v>
      </c>
      <c r="B452" s="1">
        <v>45935</v>
      </c>
      <c r="C452">
        <v>1027</v>
      </c>
      <c r="D452" t="s">
        <v>49</v>
      </c>
      <c r="E452" t="s">
        <v>29</v>
      </c>
      <c r="F452" t="s">
        <v>27</v>
      </c>
      <c r="G452" t="s">
        <v>37</v>
      </c>
      <c r="H452" t="s">
        <v>38</v>
      </c>
      <c r="I452">
        <v>2</v>
      </c>
      <c r="J452">
        <v>7500</v>
      </c>
      <c r="K452">
        <v>0</v>
      </c>
      <c r="L452" t="s">
        <v>17</v>
      </c>
      <c r="M452">
        <f>I452*J452*(1-K452/100)</f>
        <v>15000</v>
      </c>
      <c r="N452" t="str">
        <f>TEXT(B452,"yyyy-mm")</f>
        <v>2025-10</v>
      </c>
    </row>
    <row r="453" spans="1:14" x14ac:dyDescent="0.3">
      <c r="A453">
        <v>5031</v>
      </c>
      <c r="B453" s="1">
        <v>45667</v>
      </c>
      <c r="C453">
        <v>1027</v>
      </c>
      <c r="D453" t="s">
        <v>49</v>
      </c>
      <c r="E453" t="s">
        <v>29</v>
      </c>
      <c r="F453" t="s">
        <v>27</v>
      </c>
      <c r="G453" t="s">
        <v>42</v>
      </c>
      <c r="H453" t="s">
        <v>31</v>
      </c>
      <c r="I453">
        <v>1</v>
      </c>
      <c r="J453">
        <v>200</v>
      </c>
      <c r="K453">
        <v>10</v>
      </c>
      <c r="L453" t="s">
        <v>20</v>
      </c>
      <c r="M453">
        <f>I453*J453*(1-K453/100)</f>
        <v>180</v>
      </c>
      <c r="N453" t="str">
        <f>TEXT(B453,"yyyy-mm")</f>
        <v>2025-01</v>
      </c>
    </row>
    <row r="454" spans="1:14" x14ac:dyDescent="0.3">
      <c r="A454">
        <v>5118</v>
      </c>
      <c r="B454" s="1">
        <v>45700</v>
      </c>
      <c r="C454">
        <v>1027</v>
      </c>
      <c r="D454" t="s">
        <v>49</v>
      </c>
      <c r="E454" t="s">
        <v>29</v>
      </c>
      <c r="F454" t="s">
        <v>27</v>
      </c>
      <c r="G454" t="s">
        <v>65</v>
      </c>
      <c r="H454" t="s">
        <v>16</v>
      </c>
      <c r="I454">
        <v>1</v>
      </c>
      <c r="J454">
        <v>12000</v>
      </c>
      <c r="K454">
        <v>5</v>
      </c>
      <c r="L454" t="s">
        <v>34</v>
      </c>
      <c r="M454">
        <f>I454*J454*(1-K454/100)</f>
        <v>11400</v>
      </c>
      <c r="N454" t="str">
        <f>TEXT(B454,"yyyy-mm")</f>
        <v>2025-02</v>
      </c>
    </row>
    <row r="455" spans="1:14" x14ac:dyDescent="0.3">
      <c r="A455">
        <v>5429</v>
      </c>
      <c r="B455" s="1">
        <v>45821</v>
      </c>
      <c r="C455">
        <v>1027</v>
      </c>
      <c r="D455" t="s">
        <v>49</v>
      </c>
      <c r="E455" t="s">
        <v>29</v>
      </c>
      <c r="F455" t="s">
        <v>27</v>
      </c>
      <c r="G455" t="s">
        <v>65</v>
      </c>
      <c r="H455" t="s">
        <v>16</v>
      </c>
      <c r="I455">
        <v>1</v>
      </c>
      <c r="J455">
        <v>12000</v>
      </c>
      <c r="K455">
        <v>5</v>
      </c>
      <c r="L455" t="s">
        <v>20</v>
      </c>
      <c r="M455">
        <f>I455*J455*(1-K455/100)</f>
        <v>11400</v>
      </c>
      <c r="N455" t="str">
        <f>TEXT(B455,"yyyy-mm")</f>
        <v>2025-06</v>
      </c>
    </row>
    <row r="456" spans="1:14" x14ac:dyDescent="0.3">
      <c r="A456">
        <v>5778</v>
      </c>
      <c r="B456" s="1">
        <v>45948</v>
      </c>
      <c r="C456">
        <v>1027</v>
      </c>
      <c r="D456" t="s">
        <v>49</v>
      </c>
      <c r="E456" t="s">
        <v>29</v>
      </c>
      <c r="F456" t="s">
        <v>27</v>
      </c>
      <c r="G456" t="s">
        <v>42</v>
      </c>
      <c r="H456" t="s">
        <v>31</v>
      </c>
      <c r="I456">
        <v>1</v>
      </c>
      <c r="J456">
        <v>200</v>
      </c>
      <c r="K456">
        <v>10</v>
      </c>
      <c r="L456" t="s">
        <v>20</v>
      </c>
      <c r="M456">
        <f>I456*J456*(1-K456/100)</f>
        <v>180</v>
      </c>
      <c r="N456" t="str">
        <f>TEXT(B456,"yyyy-mm")</f>
        <v>2025-10</v>
      </c>
    </row>
    <row r="457" spans="1:14" x14ac:dyDescent="0.3">
      <c r="A457">
        <v>5619</v>
      </c>
      <c r="B457" s="1">
        <v>45889</v>
      </c>
      <c r="C457">
        <v>1028</v>
      </c>
      <c r="D457" t="s">
        <v>73</v>
      </c>
      <c r="E457" t="s">
        <v>29</v>
      </c>
      <c r="F457" t="s">
        <v>27</v>
      </c>
      <c r="G457" t="s">
        <v>15</v>
      </c>
      <c r="H457" t="s">
        <v>16</v>
      </c>
      <c r="I457">
        <v>5</v>
      </c>
      <c r="J457">
        <v>18000</v>
      </c>
      <c r="K457">
        <v>15</v>
      </c>
      <c r="L457" t="s">
        <v>43</v>
      </c>
      <c r="M457">
        <f>I457*J457*(1-K457/100)</f>
        <v>76500</v>
      </c>
      <c r="N457" t="str">
        <f>TEXT(B457,"yyyy-mm")</f>
        <v>2025-08</v>
      </c>
    </row>
    <row r="458" spans="1:14" x14ac:dyDescent="0.3">
      <c r="A458">
        <v>5889</v>
      </c>
      <c r="B458" s="1">
        <v>45987</v>
      </c>
      <c r="C458">
        <v>1028</v>
      </c>
      <c r="D458" t="s">
        <v>73</v>
      </c>
      <c r="E458" t="s">
        <v>29</v>
      </c>
      <c r="F458" t="s">
        <v>27</v>
      </c>
      <c r="G458" t="s">
        <v>30</v>
      </c>
      <c r="H458" t="s">
        <v>31</v>
      </c>
      <c r="I458">
        <v>5</v>
      </c>
      <c r="J458">
        <v>350</v>
      </c>
      <c r="K458">
        <v>0</v>
      </c>
      <c r="L458" t="s">
        <v>43</v>
      </c>
      <c r="M458">
        <f>I458*J458*(1-K458/100)</f>
        <v>1750</v>
      </c>
      <c r="N458" t="str">
        <f>TEXT(B458,"yyyy-mm")</f>
        <v>2025-11</v>
      </c>
    </row>
    <row r="459" spans="1:14" x14ac:dyDescent="0.3">
      <c r="A459">
        <v>5943</v>
      </c>
      <c r="B459" s="1">
        <v>46004</v>
      </c>
      <c r="C459">
        <v>1028</v>
      </c>
      <c r="D459" t="s">
        <v>73</v>
      </c>
      <c r="E459" t="s">
        <v>29</v>
      </c>
      <c r="F459" t="s">
        <v>27</v>
      </c>
      <c r="G459" t="s">
        <v>30</v>
      </c>
      <c r="H459" t="s">
        <v>31</v>
      </c>
      <c r="I459">
        <v>5</v>
      </c>
      <c r="J459">
        <v>350</v>
      </c>
      <c r="K459">
        <v>10</v>
      </c>
      <c r="L459" t="s">
        <v>34</v>
      </c>
      <c r="M459">
        <f>I459*J459*(1-K459/100)</f>
        <v>1575</v>
      </c>
      <c r="N459" t="str">
        <f>TEXT(B459,"yyyy-mm")</f>
        <v>2025-12</v>
      </c>
    </row>
    <row r="460" spans="1:14" x14ac:dyDescent="0.3">
      <c r="A460">
        <v>5255</v>
      </c>
      <c r="B460" s="1">
        <v>45750</v>
      </c>
      <c r="C460">
        <v>1028</v>
      </c>
      <c r="D460" t="s">
        <v>73</v>
      </c>
      <c r="E460" t="s">
        <v>29</v>
      </c>
      <c r="F460" t="s">
        <v>27</v>
      </c>
      <c r="G460" t="s">
        <v>15</v>
      </c>
      <c r="H460" t="s">
        <v>16</v>
      </c>
      <c r="I460">
        <v>4</v>
      </c>
      <c r="J460">
        <v>18000</v>
      </c>
      <c r="K460">
        <v>0</v>
      </c>
      <c r="L460" t="s">
        <v>17</v>
      </c>
      <c r="M460">
        <f>I460*J460*(1-K460/100)</f>
        <v>72000</v>
      </c>
      <c r="N460" t="str">
        <f>TEXT(B460,"yyyy-mm")</f>
        <v>2025-04</v>
      </c>
    </row>
    <row r="461" spans="1:14" x14ac:dyDescent="0.3">
      <c r="A461">
        <v>5704</v>
      </c>
      <c r="B461" s="1">
        <v>45924</v>
      </c>
      <c r="C461">
        <v>1028</v>
      </c>
      <c r="D461" t="s">
        <v>73</v>
      </c>
      <c r="E461" t="s">
        <v>29</v>
      </c>
      <c r="F461" t="s">
        <v>27</v>
      </c>
      <c r="G461" t="s">
        <v>42</v>
      </c>
      <c r="H461" t="s">
        <v>31</v>
      </c>
      <c r="I461">
        <v>4</v>
      </c>
      <c r="J461">
        <v>200</v>
      </c>
      <c r="K461">
        <v>0</v>
      </c>
      <c r="L461" t="s">
        <v>20</v>
      </c>
      <c r="M461">
        <f>I461*J461*(1-K461/100)</f>
        <v>800</v>
      </c>
      <c r="N461" t="str">
        <f>TEXT(B461,"yyyy-mm")</f>
        <v>2025-09</v>
      </c>
    </row>
    <row r="462" spans="1:14" x14ac:dyDescent="0.3">
      <c r="A462">
        <v>5720</v>
      </c>
      <c r="B462" s="1">
        <v>45927</v>
      </c>
      <c r="C462">
        <v>1028</v>
      </c>
      <c r="D462" t="s">
        <v>73</v>
      </c>
      <c r="E462" t="s">
        <v>29</v>
      </c>
      <c r="F462" t="s">
        <v>27</v>
      </c>
      <c r="G462" t="s">
        <v>40</v>
      </c>
      <c r="H462" t="s">
        <v>38</v>
      </c>
      <c r="I462">
        <v>4</v>
      </c>
      <c r="J462">
        <v>900</v>
      </c>
      <c r="K462">
        <v>0</v>
      </c>
      <c r="L462" t="s">
        <v>17</v>
      </c>
      <c r="M462">
        <f>I462*J462*(1-K462/100)</f>
        <v>3600</v>
      </c>
      <c r="N462" t="str">
        <f>TEXT(B462,"yyyy-mm")</f>
        <v>2025-09</v>
      </c>
    </row>
    <row r="463" spans="1:14" x14ac:dyDescent="0.3">
      <c r="A463">
        <v>5747</v>
      </c>
      <c r="B463" s="1">
        <v>45937</v>
      </c>
      <c r="C463">
        <v>1028</v>
      </c>
      <c r="D463" t="s">
        <v>73</v>
      </c>
      <c r="E463" t="s">
        <v>29</v>
      </c>
      <c r="F463" t="s">
        <v>27</v>
      </c>
      <c r="G463" t="s">
        <v>42</v>
      </c>
      <c r="H463" t="s">
        <v>31</v>
      </c>
      <c r="I463">
        <v>4</v>
      </c>
      <c r="J463">
        <v>200</v>
      </c>
      <c r="K463">
        <v>0</v>
      </c>
      <c r="L463" t="s">
        <v>34</v>
      </c>
      <c r="M463">
        <f>I463*J463*(1-K463/100)</f>
        <v>800</v>
      </c>
      <c r="N463" t="str">
        <f>TEXT(B463,"yyyy-mm")</f>
        <v>2025-10</v>
      </c>
    </row>
    <row r="464" spans="1:14" x14ac:dyDescent="0.3">
      <c r="A464">
        <v>5917</v>
      </c>
      <c r="B464" s="1">
        <v>45996</v>
      </c>
      <c r="C464">
        <v>1028</v>
      </c>
      <c r="D464" t="s">
        <v>73</v>
      </c>
      <c r="E464" t="s">
        <v>29</v>
      </c>
      <c r="F464" t="s">
        <v>27</v>
      </c>
      <c r="G464" t="s">
        <v>30</v>
      </c>
      <c r="H464" t="s">
        <v>31</v>
      </c>
      <c r="I464">
        <v>4</v>
      </c>
      <c r="J464">
        <v>350</v>
      </c>
      <c r="K464">
        <v>10</v>
      </c>
      <c r="L464" t="s">
        <v>34</v>
      </c>
      <c r="M464">
        <f>I464*J464*(1-K464/100)</f>
        <v>1260</v>
      </c>
      <c r="N464" t="str">
        <f>TEXT(B464,"yyyy-mm")</f>
        <v>2025-12</v>
      </c>
    </row>
    <row r="465" spans="1:14" x14ac:dyDescent="0.3">
      <c r="A465">
        <v>5220</v>
      </c>
      <c r="B465" s="1">
        <v>45739</v>
      </c>
      <c r="C465">
        <v>1028</v>
      </c>
      <c r="D465" t="s">
        <v>73</v>
      </c>
      <c r="E465" t="s">
        <v>29</v>
      </c>
      <c r="F465" t="s">
        <v>27</v>
      </c>
      <c r="G465" t="s">
        <v>52</v>
      </c>
      <c r="H465" t="s">
        <v>16</v>
      </c>
      <c r="I465">
        <v>3</v>
      </c>
      <c r="J465">
        <v>6000</v>
      </c>
      <c r="K465">
        <v>0</v>
      </c>
      <c r="L465" t="s">
        <v>43</v>
      </c>
      <c r="M465">
        <f>I465*J465*(1-K465/100)</f>
        <v>18000</v>
      </c>
      <c r="N465" t="str">
        <f>TEXT(B465,"yyyy-mm")</f>
        <v>2025-03</v>
      </c>
    </row>
    <row r="466" spans="1:14" x14ac:dyDescent="0.3">
      <c r="A466">
        <v>5443</v>
      </c>
      <c r="B466" s="1">
        <v>45826</v>
      </c>
      <c r="C466">
        <v>1028</v>
      </c>
      <c r="D466" t="s">
        <v>73</v>
      </c>
      <c r="E466" t="s">
        <v>29</v>
      </c>
      <c r="F466" t="s">
        <v>27</v>
      </c>
      <c r="G466" t="s">
        <v>65</v>
      </c>
      <c r="H466" t="s">
        <v>16</v>
      </c>
      <c r="I466">
        <v>3</v>
      </c>
      <c r="J466">
        <v>12000</v>
      </c>
      <c r="K466">
        <v>0</v>
      </c>
      <c r="L466" t="s">
        <v>25</v>
      </c>
      <c r="M466">
        <f>I466*J466*(1-K466/100)</f>
        <v>36000</v>
      </c>
      <c r="N466" t="str">
        <f>TEXT(B466,"yyyy-mm")</f>
        <v>2025-06</v>
      </c>
    </row>
    <row r="467" spans="1:14" x14ac:dyDescent="0.3">
      <c r="A467">
        <v>5880</v>
      </c>
      <c r="B467" s="1">
        <v>45983</v>
      </c>
      <c r="C467">
        <v>1028</v>
      </c>
      <c r="D467" t="s">
        <v>73</v>
      </c>
      <c r="E467" t="s">
        <v>87</v>
      </c>
      <c r="F467" t="s">
        <v>27</v>
      </c>
      <c r="G467" t="s">
        <v>30</v>
      </c>
      <c r="H467" t="s">
        <v>31</v>
      </c>
      <c r="I467">
        <v>3</v>
      </c>
      <c r="J467">
        <v>350</v>
      </c>
      <c r="K467">
        <v>0</v>
      </c>
      <c r="L467" t="s">
        <v>43</v>
      </c>
      <c r="M467">
        <f>I467*J467*(1-K467/100)</f>
        <v>1050</v>
      </c>
      <c r="N467" t="str">
        <f>TEXT(B467,"yyyy-mm")</f>
        <v>2025-11</v>
      </c>
    </row>
    <row r="468" spans="1:14" x14ac:dyDescent="0.3">
      <c r="A468">
        <v>5905</v>
      </c>
      <c r="B468" s="1">
        <v>45993</v>
      </c>
      <c r="C468">
        <v>1028</v>
      </c>
      <c r="D468" t="s">
        <v>73</v>
      </c>
      <c r="E468" t="s">
        <v>29</v>
      </c>
      <c r="F468" t="s">
        <v>27</v>
      </c>
      <c r="G468" t="s">
        <v>55</v>
      </c>
      <c r="H468" t="s">
        <v>16</v>
      </c>
      <c r="I468">
        <v>3</v>
      </c>
      <c r="J468">
        <v>2500</v>
      </c>
      <c r="K468">
        <v>0</v>
      </c>
      <c r="L468" t="s">
        <v>34</v>
      </c>
      <c r="M468">
        <f>I468*J468*(1-K468/100)</f>
        <v>7500</v>
      </c>
      <c r="N468" t="str">
        <f>TEXT(B468,"yyyy-mm")</f>
        <v>2025-12</v>
      </c>
    </row>
    <row r="469" spans="1:14" x14ac:dyDescent="0.3">
      <c r="A469">
        <v>5974</v>
      </c>
      <c r="B469" s="1">
        <v>46012</v>
      </c>
      <c r="C469">
        <v>1028</v>
      </c>
      <c r="D469" t="s">
        <v>73</v>
      </c>
      <c r="E469" t="s">
        <v>29</v>
      </c>
      <c r="F469" t="s">
        <v>27</v>
      </c>
      <c r="G469" t="s">
        <v>55</v>
      </c>
      <c r="H469" t="s">
        <v>16</v>
      </c>
      <c r="I469">
        <v>3</v>
      </c>
      <c r="J469">
        <v>2500</v>
      </c>
      <c r="K469">
        <v>10</v>
      </c>
      <c r="L469" t="s">
        <v>34</v>
      </c>
      <c r="M469">
        <f>I469*J469*(1-K469/100)</f>
        <v>6750</v>
      </c>
      <c r="N469" t="str">
        <f>TEXT(B469,"yyyy-mm")</f>
        <v>2025-12</v>
      </c>
    </row>
    <row r="470" spans="1:14" x14ac:dyDescent="0.3">
      <c r="A470">
        <v>5266</v>
      </c>
      <c r="B470" s="1">
        <v>45756</v>
      </c>
      <c r="C470">
        <v>1028</v>
      </c>
      <c r="D470" t="s">
        <v>73</v>
      </c>
      <c r="E470" t="s">
        <v>29</v>
      </c>
      <c r="F470" t="s">
        <v>27</v>
      </c>
      <c r="G470" t="s">
        <v>40</v>
      </c>
      <c r="H470" t="s">
        <v>38</v>
      </c>
      <c r="I470">
        <v>2</v>
      </c>
      <c r="J470">
        <v>900</v>
      </c>
      <c r="K470">
        <v>0</v>
      </c>
      <c r="L470" t="s">
        <v>25</v>
      </c>
      <c r="M470">
        <f>I470*J470*(1-K470/100)</f>
        <v>1800</v>
      </c>
      <c r="N470" t="str">
        <f>TEXT(B470,"yyyy-mm")</f>
        <v>2025-04</v>
      </c>
    </row>
    <row r="471" spans="1:14" x14ac:dyDescent="0.3">
      <c r="A471">
        <v>5503</v>
      </c>
      <c r="B471" s="1">
        <v>45847</v>
      </c>
      <c r="C471">
        <v>1028</v>
      </c>
      <c r="D471" t="s">
        <v>73</v>
      </c>
      <c r="E471" t="s">
        <v>29</v>
      </c>
      <c r="F471" t="s">
        <v>27</v>
      </c>
      <c r="G471" t="s">
        <v>55</v>
      </c>
      <c r="H471" t="s">
        <v>16</v>
      </c>
      <c r="I471">
        <v>2</v>
      </c>
      <c r="J471">
        <v>2500</v>
      </c>
      <c r="K471">
        <v>0</v>
      </c>
      <c r="L471" t="s">
        <v>17</v>
      </c>
      <c r="M471">
        <f>I471*J471*(1-K471/100)</f>
        <v>5000</v>
      </c>
      <c r="N471" t="str">
        <f>TEXT(B471,"yyyy-mm")</f>
        <v>2025-07</v>
      </c>
    </row>
    <row r="472" spans="1:14" x14ac:dyDescent="0.3">
      <c r="A472">
        <v>5777</v>
      </c>
      <c r="B472" s="1">
        <v>45947</v>
      </c>
      <c r="C472">
        <v>1028</v>
      </c>
      <c r="D472" t="s">
        <v>73</v>
      </c>
      <c r="E472" t="s">
        <v>29</v>
      </c>
      <c r="F472" t="s">
        <v>27</v>
      </c>
      <c r="G472" t="s">
        <v>52</v>
      </c>
      <c r="H472" t="s">
        <v>16</v>
      </c>
      <c r="I472">
        <v>2</v>
      </c>
      <c r="J472">
        <v>6000</v>
      </c>
      <c r="K472">
        <v>0</v>
      </c>
      <c r="L472" t="s">
        <v>34</v>
      </c>
      <c r="M472">
        <f>I472*J472*(1-K472/100)</f>
        <v>12000</v>
      </c>
      <c r="N472" t="str">
        <f>TEXT(B472,"yyyy-mm")</f>
        <v>2025-10</v>
      </c>
    </row>
    <row r="473" spans="1:14" x14ac:dyDescent="0.3">
      <c r="A473">
        <v>5068</v>
      </c>
      <c r="B473" s="1">
        <v>45682</v>
      </c>
      <c r="C473">
        <v>1028</v>
      </c>
      <c r="D473" t="s">
        <v>73</v>
      </c>
      <c r="E473" t="s">
        <v>29</v>
      </c>
      <c r="F473" t="s">
        <v>27</v>
      </c>
      <c r="G473" t="s">
        <v>30</v>
      </c>
      <c r="H473" t="s">
        <v>31</v>
      </c>
      <c r="I473">
        <v>1</v>
      </c>
      <c r="J473">
        <v>350</v>
      </c>
      <c r="K473">
        <v>15</v>
      </c>
      <c r="L473" t="s">
        <v>34</v>
      </c>
      <c r="M473">
        <f>I473*J473*(1-K473/100)</f>
        <v>297.5</v>
      </c>
      <c r="N473" t="str">
        <f>TEXT(B473,"yyyy-mm")</f>
        <v>2025-01</v>
      </c>
    </row>
    <row r="474" spans="1:14" x14ac:dyDescent="0.3">
      <c r="A474">
        <v>5158</v>
      </c>
      <c r="B474" s="1">
        <v>45710</v>
      </c>
      <c r="C474">
        <v>1028</v>
      </c>
      <c r="D474" t="s">
        <v>73</v>
      </c>
      <c r="E474" t="s">
        <v>29</v>
      </c>
      <c r="F474" t="s">
        <v>27</v>
      </c>
      <c r="G474" t="s">
        <v>42</v>
      </c>
      <c r="H474" t="s">
        <v>31</v>
      </c>
      <c r="I474">
        <v>1</v>
      </c>
      <c r="J474">
        <v>200</v>
      </c>
      <c r="K474">
        <v>5</v>
      </c>
      <c r="L474" t="s">
        <v>17</v>
      </c>
      <c r="M474">
        <f>I474*J474*(1-K474/100)</f>
        <v>190</v>
      </c>
      <c r="N474" t="str">
        <f>TEXT(B474,"yyyy-mm")</f>
        <v>2025-02</v>
      </c>
    </row>
    <row r="475" spans="1:14" x14ac:dyDescent="0.3">
      <c r="A475">
        <v>5553</v>
      </c>
      <c r="B475" s="1">
        <v>45864</v>
      </c>
      <c r="C475">
        <v>1028</v>
      </c>
      <c r="D475" t="s">
        <v>73</v>
      </c>
      <c r="E475" t="s">
        <v>29</v>
      </c>
      <c r="F475" t="s">
        <v>27</v>
      </c>
      <c r="G475" t="s">
        <v>52</v>
      </c>
      <c r="H475" t="s">
        <v>16</v>
      </c>
      <c r="I475">
        <v>1</v>
      </c>
      <c r="J475">
        <v>6000</v>
      </c>
      <c r="K475">
        <v>15</v>
      </c>
      <c r="L475" t="s">
        <v>20</v>
      </c>
      <c r="M475">
        <f>I475*J475*(1-K475/100)</f>
        <v>5100</v>
      </c>
      <c r="N475" t="str">
        <f>TEXT(B475,"yyyy-mm")</f>
        <v>2025-07</v>
      </c>
    </row>
    <row r="476" spans="1:14" x14ac:dyDescent="0.3">
      <c r="A476">
        <v>5654</v>
      </c>
      <c r="B476" s="1">
        <v>45902</v>
      </c>
      <c r="C476">
        <v>1028</v>
      </c>
      <c r="D476" t="s">
        <v>73</v>
      </c>
      <c r="E476" t="s">
        <v>29</v>
      </c>
      <c r="F476" t="s">
        <v>27</v>
      </c>
      <c r="G476" t="s">
        <v>42</v>
      </c>
      <c r="H476" t="s">
        <v>31</v>
      </c>
      <c r="I476">
        <v>1</v>
      </c>
      <c r="J476">
        <v>200</v>
      </c>
      <c r="K476">
        <v>0</v>
      </c>
      <c r="L476" t="s">
        <v>43</v>
      </c>
      <c r="M476">
        <f>I476*J476*(1-K476/100)</f>
        <v>200</v>
      </c>
      <c r="N476" t="str">
        <f>TEXT(B476,"yyyy-mm")</f>
        <v>2025-09</v>
      </c>
    </row>
    <row r="477" spans="1:14" x14ac:dyDescent="0.3">
      <c r="A477">
        <v>5131</v>
      </c>
      <c r="B477" s="1">
        <v>45702</v>
      </c>
      <c r="C477">
        <v>1029</v>
      </c>
      <c r="D477" t="s">
        <v>63</v>
      </c>
      <c r="E477" t="s">
        <v>87</v>
      </c>
      <c r="F477" t="s">
        <v>14</v>
      </c>
      <c r="G477" t="s">
        <v>52</v>
      </c>
      <c r="H477" t="s">
        <v>16</v>
      </c>
      <c r="I477">
        <v>5</v>
      </c>
      <c r="J477">
        <v>6000</v>
      </c>
      <c r="K477">
        <v>0</v>
      </c>
      <c r="L477" t="s">
        <v>25</v>
      </c>
      <c r="M477">
        <f>I477*J477*(1-K477/100)</f>
        <v>30000</v>
      </c>
      <c r="N477" t="str">
        <f>TEXT(B477,"yyyy-mm")</f>
        <v>2025-02</v>
      </c>
    </row>
    <row r="478" spans="1:14" x14ac:dyDescent="0.3">
      <c r="A478">
        <v>5508</v>
      </c>
      <c r="B478" s="1">
        <v>45848</v>
      </c>
      <c r="C478">
        <v>1029</v>
      </c>
      <c r="D478" t="s">
        <v>63</v>
      </c>
      <c r="E478" t="s">
        <v>13</v>
      </c>
      <c r="F478" t="s">
        <v>14</v>
      </c>
      <c r="G478" t="s">
        <v>19</v>
      </c>
      <c r="H478" t="s">
        <v>16</v>
      </c>
      <c r="I478">
        <v>5</v>
      </c>
      <c r="J478">
        <v>9500</v>
      </c>
      <c r="K478">
        <v>0</v>
      </c>
      <c r="L478" t="s">
        <v>34</v>
      </c>
      <c r="M478">
        <f>I478*J478*(1-K478/100)</f>
        <v>47500</v>
      </c>
      <c r="N478" t="str">
        <f>TEXT(B478,"yyyy-mm")</f>
        <v>2025-07</v>
      </c>
    </row>
    <row r="479" spans="1:14" x14ac:dyDescent="0.3">
      <c r="A479">
        <v>5412</v>
      </c>
      <c r="B479" s="1">
        <v>45816</v>
      </c>
      <c r="C479">
        <v>1029</v>
      </c>
      <c r="D479" t="s">
        <v>63</v>
      </c>
      <c r="E479" t="s">
        <v>13</v>
      </c>
      <c r="F479" t="s">
        <v>14</v>
      </c>
      <c r="G479" t="s">
        <v>30</v>
      </c>
      <c r="H479" t="s">
        <v>31</v>
      </c>
      <c r="I479">
        <v>4</v>
      </c>
      <c r="J479">
        <v>350</v>
      </c>
      <c r="K479">
        <v>0</v>
      </c>
      <c r="L479" t="s">
        <v>20</v>
      </c>
      <c r="M479">
        <f>I479*J479*(1-K479/100)</f>
        <v>1400</v>
      </c>
      <c r="N479" t="str">
        <f>TEXT(B479,"yyyy-mm")</f>
        <v>2025-06</v>
      </c>
    </row>
    <row r="480" spans="1:14" x14ac:dyDescent="0.3">
      <c r="A480">
        <v>5632</v>
      </c>
      <c r="B480" s="1">
        <v>45895</v>
      </c>
      <c r="C480">
        <v>1029</v>
      </c>
      <c r="D480" t="s">
        <v>63</v>
      </c>
      <c r="E480" t="s">
        <v>13</v>
      </c>
      <c r="F480" t="s">
        <v>14</v>
      </c>
      <c r="G480" t="s">
        <v>40</v>
      </c>
      <c r="H480" t="s">
        <v>38</v>
      </c>
      <c r="I480">
        <v>4</v>
      </c>
      <c r="J480">
        <v>900</v>
      </c>
      <c r="K480">
        <v>0</v>
      </c>
      <c r="L480" t="s">
        <v>43</v>
      </c>
      <c r="M480">
        <f>I480*J480*(1-K480/100)</f>
        <v>3600</v>
      </c>
      <c r="N480" t="str">
        <f>TEXT(B480,"yyyy-mm")</f>
        <v>2025-08</v>
      </c>
    </row>
    <row r="481" spans="1:14" x14ac:dyDescent="0.3">
      <c r="A481">
        <v>5208</v>
      </c>
      <c r="B481" s="1">
        <v>45729</v>
      </c>
      <c r="C481">
        <v>1029</v>
      </c>
      <c r="D481" t="s">
        <v>63</v>
      </c>
      <c r="E481" t="s">
        <v>13</v>
      </c>
      <c r="F481" t="s">
        <v>14</v>
      </c>
      <c r="G481" t="s">
        <v>57</v>
      </c>
      <c r="H481" t="s">
        <v>38</v>
      </c>
      <c r="I481">
        <v>3</v>
      </c>
      <c r="J481">
        <v>16000</v>
      </c>
      <c r="K481">
        <v>0</v>
      </c>
      <c r="L481" t="s">
        <v>17</v>
      </c>
      <c r="M481">
        <f>I481*J481*(1-K481/100)</f>
        <v>48000</v>
      </c>
      <c r="N481" t="str">
        <f>TEXT(B481,"yyyy-mm")</f>
        <v>2025-03</v>
      </c>
    </row>
    <row r="482" spans="1:14" x14ac:dyDescent="0.3">
      <c r="A482">
        <v>5241</v>
      </c>
      <c r="B482" s="1">
        <v>45745</v>
      </c>
      <c r="C482">
        <v>1029</v>
      </c>
      <c r="D482" t="s">
        <v>63</v>
      </c>
      <c r="E482" t="s">
        <v>13</v>
      </c>
      <c r="F482" t="s">
        <v>14</v>
      </c>
      <c r="G482" t="s">
        <v>65</v>
      </c>
      <c r="H482" t="s">
        <v>16</v>
      </c>
      <c r="I482">
        <v>3</v>
      </c>
      <c r="J482">
        <v>12000</v>
      </c>
      <c r="K482">
        <v>0</v>
      </c>
      <c r="L482" t="s">
        <v>17</v>
      </c>
      <c r="M482">
        <f>I482*J482*(1-K482/100)</f>
        <v>36000</v>
      </c>
      <c r="N482" t="str">
        <f>TEXT(B482,"yyyy-mm")</f>
        <v>2025-03</v>
      </c>
    </row>
    <row r="483" spans="1:14" x14ac:dyDescent="0.3">
      <c r="A483">
        <v>5878</v>
      </c>
      <c r="B483" s="1">
        <v>45982</v>
      </c>
      <c r="C483">
        <v>1029</v>
      </c>
      <c r="D483" t="s">
        <v>63</v>
      </c>
      <c r="E483" t="s">
        <v>13</v>
      </c>
      <c r="F483" t="s">
        <v>14</v>
      </c>
      <c r="G483" t="s">
        <v>52</v>
      </c>
      <c r="H483" t="s">
        <v>16</v>
      </c>
      <c r="I483">
        <v>3</v>
      </c>
      <c r="J483">
        <v>6000</v>
      </c>
      <c r="K483">
        <v>0</v>
      </c>
      <c r="L483" t="s">
        <v>43</v>
      </c>
      <c r="M483">
        <f>I483*J483*(1-K483/100)</f>
        <v>18000</v>
      </c>
      <c r="N483" t="str">
        <f>TEXT(B483,"yyyy-mm")</f>
        <v>2025-11</v>
      </c>
    </row>
    <row r="484" spans="1:14" x14ac:dyDescent="0.3">
      <c r="A484">
        <v>5199</v>
      </c>
      <c r="B484" s="1">
        <v>45724</v>
      </c>
      <c r="C484">
        <v>1029</v>
      </c>
      <c r="D484" t="s">
        <v>63</v>
      </c>
      <c r="E484" t="s">
        <v>13</v>
      </c>
      <c r="F484" t="s">
        <v>14</v>
      </c>
      <c r="G484" t="s">
        <v>37</v>
      </c>
      <c r="H484" t="s">
        <v>38</v>
      </c>
      <c r="I484">
        <v>2</v>
      </c>
      <c r="J484">
        <v>7500</v>
      </c>
      <c r="K484">
        <v>10</v>
      </c>
      <c r="L484" t="s">
        <v>34</v>
      </c>
      <c r="M484">
        <f>I484*J484*(1-K484/100)</f>
        <v>13500</v>
      </c>
      <c r="N484" t="str">
        <f>TEXT(B484,"yyyy-mm")</f>
        <v>2025-03</v>
      </c>
    </row>
    <row r="485" spans="1:14" x14ac:dyDescent="0.3">
      <c r="A485">
        <v>5217</v>
      </c>
      <c r="B485" s="1">
        <v>45734</v>
      </c>
      <c r="C485">
        <v>1029</v>
      </c>
      <c r="D485" t="s">
        <v>63</v>
      </c>
      <c r="E485" t="s">
        <v>13</v>
      </c>
      <c r="F485" t="s">
        <v>14</v>
      </c>
      <c r="G485" t="s">
        <v>55</v>
      </c>
      <c r="H485" t="s">
        <v>16</v>
      </c>
      <c r="I485">
        <v>2</v>
      </c>
      <c r="J485">
        <v>2500</v>
      </c>
      <c r="K485">
        <v>0</v>
      </c>
      <c r="L485" t="s">
        <v>43</v>
      </c>
      <c r="M485">
        <f>I485*J485*(1-K485/100)</f>
        <v>5000</v>
      </c>
      <c r="N485" t="str">
        <f>TEXT(B485,"yyyy-mm")</f>
        <v>2025-03</v>
      </c>
    </row>
    <row r="486" spans="1:14" x14ac:dyDescent="0.3">
      <c r="A486">
        <v>5489</v>
      </c>
      <c r="B486" s="1">
        <v>45843</v>
      </c>
      <c r="C486">
        <v>1029</v>
      </c>
      <c r="D486" t="s">
        <v>63</v>
      </c>
      <c r="E486" t="s">
        <v>13</v>
      </c>
      <c r="F486" t="s">
        <v>14</v>
      </c>
      <c r="G486" t="s">
        <v>55</v>
      </c>
      <c r="H486" t="s">
        <v>16</v>
      </c>
      <c r="I486">
        <v>2</v>
      </c>
      <c r="J486">
        <v>2500</v>
      </c>
      <c r="K486">
        <v>10</v>
      </c>
      <c r="L486" t="s">
        <v>25</v>
      </c>
      <c r="M486">
        <f>I486*J486*(1-K486/100)</f>
        <v>4500</v>
      </c>
      <c r="N486" t="str">
        <f>TEXT(B486,"yyyy-mm")</f>
        <v>2025-07</v>
      </c>
    </row>
    <row r="487" spans="1:14" x14ac:dyDescent="0.3">
      <c r="A487">
        <v>5495</v>
      </c>
      <c r="B487" s="1">
        <v>45845</v>
      </c>
      <c r="C487">
        <v>1029</v>
      </c>
      <c r="D487" t="s">
        <v>63</v>
      </c>
      <c r="E487" t="s">
        <v>13</v>
      </c>
      <c r="F487" t="s">
        <v>14</v>
      </c>
      <c r="G487" t="s">
        <v>15</v>
      </c>
      <c r="H487" t="s">
        <v>16</v>
      </c>
      <c r="I487">
        <v>2</v>
      </c>
      <c r="J487">
        <v>18000</v>
      </c>
      <c r="K487">
        <v>10</v>
      </c>
      <c r="L487" t="s">
        <v>43</v>
      </c>
      <c r="M487">
        <f>I487*J487*(1-K487/100)</f>
        <v>32400</v>
      </c>
      <c r="N487" t="str">
        <f>TEXT(B487,"yyyy-mm")</f>
        <v>2025-07</v>
      </c>
    </row>
    <row r="488" spans="1:14" x14ac:dyDescent="0.3">
      <c r="A488">
        <v>5499</v>
      </c>
      <c r="B488" s="1">
        <v>45846</v>
      </c>
      <c r="C488">
        <v>1029</v>
      </c>
      <c r="D488" t="s">
        <v>63</v>
      </c>
      <c r="E488" t="s">
        <v>13</v>
      </c>
      <c r="F488" t="s">
        <v>14</v>
      </c>
      <c r="G488" t="s">
        <v>65</v>
      </c>
      <c r="H488" t="s">
        <v>16</v>
      </c>
      <c r="I488">
        <v>2</v>
      </c>
      <c r="J488">
        <v>12000</v>
      </c>
      <c r="K488">
        <v>0</v>
      </c>
      <c r="L488" t="s">
        <v>34</v>
      </c>
      <c r="M488">
        <f>I488*J488*(1-K488/100)</f>
        <v>24000</v>
      </c>
      <c r="N488" t="str">
        <f>TEXT(B488,"yyyy-mm")</f>
        <v>2025-07</v>
      </c>
    </row>
    <row r="489" spans="1:14" x14ac:dyDescent="0.3">
      <c r="A489">
        <v>5668</v>
      </c>
      <c r="B489" s="1">
        <v>45908</v>
      </c>
      <c r="C489">
        <v>1029</v>
      </c>
      <c r="D489" t="s">
        <v>63</v>
      </c>
      <c r="E489" t="s">
        <v>13</v>
      </c>
      <c r="F489" t="s">
        <v>14</v>
      </c>
      <c r="G489" t="s">
        <v>57</v>
      </c>
      <c r="H489" t="s">
        <v>38</v>
      </c>
      <c r="I489">
        <v>2</v>
      </c>
      <c r="J489">
        <v>16000</v>
      </c>
      <c r="K489">
        <v>0</v>
      </c>
      <c r="L489" t="s">
        <v>20</v>
      </c>
      <c r="M489">
        <f>I489*J489*(1-K489/100)</f>
        <v>32000</v>
      </c>
      <c r="N489" t="str">
        <f>TEXT(B489,"yyyy-mm")</f>
        <v>2025-09</v>
      </c>
    </row>
    <row r="490" spans="1:14" x14ac:dyDescent="0.3">
      <c r="A490">
        <v>5120</v>
      </c>
      <c r="B490" s="1">
        <v>45701</v>
      </c>
      <c r="C490">
        <v>1029</v>
      </c>
      <c r="D490" t="s">
        <v>63</v>
      </c>
      <c r="E490" t="s">
        <v>13</v>
      </c>
      <c r="F490" t="s">
        <v>14</v>
      </c>
      <c r="G490" t="s">
        <v>57</v>
      </c>
      <c r="H490" t="s">
        <v>38</v>
      </c>
      <c r="I490">
        <v>1</v>
      </c>
      <c r="J490">
        <v>16000</v>
      </c>
      <c r="K490">
        <v>15</v>
      </c>
      <c r="L490" t="s">
        <v>17</v>
      </c>
      <c r="M490">
        <f>I490*J490*(1-K490/100)</f>
        <v>13600</v>
      </c>
      <c r="N490" t="str">
        <f>TEXT(B490,"yyyy-mm")</f>
        <v>2025-02</v>
      </c>
    </row>
    <row r="491" spans="1:14" x14ac:dyDescent="0.3">
      <c r="A491">
        <v>5397</v>
      </c>
      <c r="B491" s="1">
        <v>45810</v>
      </c>
      <c r="C491">
        <v>1029</v>
      </c>
      <c r="D491" t="s">
        <v>63</v>
      </c>
      <c r="E491" t="s">
        <v>13</v>
      </c>
      <c r="F491" t="s">
        <v>14</v>
      </c>
      <c r="G491" t="s">
        <v>55</v>
      </c>
      <c r="H491" t="s">
        <v>16</v>
      </c>
      <c r="I491">
        <v>1</v>
      </c>
      <c r="J491">
        <v>2500</v>
      </c>
      <c r="K491">
        <v>0</v>
      </c>
      <c r="L491" t="s">
        <v>34</v>
      </c>
      <c r="M491">
        <f>I491*J491*(1-K491/100)</f>
        <v>2500</v>
      </c>
      <c r="N491" t="str">
        <f>TEXT(B491,"yyyy-mm")</f>
        <v>2025-06</v>
      </c>
    </row>
    <row r="492" spans="1:14" x14ac:dyDescent="0.3">
      <c r="A492">
        <v>5468</v>
      </c>
      <c r="B492" s="1">
        <v>45836</v>
      </c>
      <c r="C492">
        <v>1029</v>
      </c>
      <c r="D492" t="s">
        <v>63</v>
      </c>
      <c r="E492" t="s">
        <v>13</v>
      </c>
      <c r="F492" t="s">
        <v>14</v>
      </c>
      <c r="G492" t="s">
        <v>30</v>
      </c>
      <c r="H492" t="s">
        <v>31</v>
      </c>
      <c r="I492">
        <v>1</v>
      </c>
      <c r="J492">
        <v>350</v>
      </c>
      <c r="K492">
        <v>5</v>
      </c>
      <c r="L492" t="s">
        <v>34</v>
      </c>
      <c r="M492">
        <f>I492*J492*(1-K492/100)</f>
        <v>332.5</v>
      </c>
      <c r="N492" t="str">
        <f>TEXT(B492,"yyyy-mm")</f>
        <v>2025-06</v>
      </c>
    </row>
    <row r="493" spans="1:14" x14ac:dyDescent="0.3">
      <c r="A493">
        <v>5726</v>
      </c>
      <c r="B493" s="1">
        <v>45929</v>
      </c>
      <c r="C493">
        <v>1029</v>
      </c>
      <c r="D493" t="s">
        <v>63</v>
      </c>
      <c r="E493" t="s">
        <v>13</v>
      </c>
      <c r="F493" t="s">
        <v>14</v>
      </c>
      <c r="G493" t="s">
        <v>40</v>
      </c>
      <c r="H493" t="s">
        <v>38</v>
      </c>
      <c r="I493">
        <v>1</v>
      </c>
      <c r="J493">
        <v>900</v>
      </c>
      <c r="K493">
        <v>0</v>
      </c>
      <c r="L493" t="s">
        <v>25</v>
      </c>
      <c r="M493">
        <f>I493*J493*(1-K493/100)</f>
        <v>900</v>
      </c>
      <c r="N493" t="str">
        <f>TEXT(B493,"yyyy-mm")</f>
        <v>2025-09</v>
      </c>
    </row>
    <row r="494" spans="1:14" x14ac:dyDescent="0.3">
      <c r="A494">
        <v>5056</v>
      </c>
      <c r="B494" s="1">
        <v>45676</v>
      </c>
      <c r="C494">
        <v>1030</v>
      </c>
      <c r="D494" t="s">
        <v>68</v>
      </c>
      <c r="E494" t="s">
        <v>29</v>
      </c>
      <c r="F494" t="s">
        <v>27</v>
      </c>
      <c r="G494" t="s">
        <v>36</v>
      </c>
      <c r="H494" t="s">
        <v>16</v>
      </c>
      <c r="I494">
        <v>5</v>
      </c>
      <c r="J494">
        <v>55000</v>
      </c>
      <c r="K494">
        <v>0</v>
      </c>
      <c r="L494" t="s">
        <v>34</v>
      </c>
      <c r="M494">
        <f>I494*J494*(1-K494/100)</f>
        <v>275000</v>
      </c>
      <c r="N494" t="str">
        <f>TEXT(B494,"yyyy-mm")</f>
        <v>2025-01</v>
      </c>
    </row>
    <row r="495" spans="1:14" x14ac:dyDescent="0.3">
      <c r="A495">
        <v>5177</v>
      </c>
      <c r="B495" s="1">
        <v>45717</v>
      </c>
      <c r="C495">
        <v>1030</v>
      </c>
      <c r="D495" t="s">
        <v>68</v>
      </c>
      <c r="E495" t="s">
        <v>29</v>
      </c>
      <c r="F495" t="s">
        <v>27</v>
      </c>
      <c r="G495" t="s">
        <v>52</v>
      </c>
      <c r="H495" t="s">
        <v>16</v>
      </c>
      <c r="I495">
        <v>5</v>
      </c>
      <c r="J495">
        <v>6000</v>
      </c>
      <c r="K495">
        <v>0</v>
      </c>
      <c r="L495" t="s">
        <v>25</v>
      </c>
      <c r="M495">
        <f>I495*J495*(1-K495/100)</f>
        <v>30000</v>
      </c>
      <c r="N495" t="str">
        <f>TEXT(B495,"yyyy-mm")</f>
        <v>2025-03</v>
      </c>
    </row>
    <row r="496" spans="1:14" x14ac:dyDescent="0.3">
      <c r="A496">
        <v>5711</v>
      </c>
      <c r="B496" s="1">
        <v>45925</v>
      </c>
      <c r="C496">
        <v>1030</v>
      </c>
      <c r="D496" t="s">
        <v>68</v>
      </c>
      <c r="E496" t="s">
        <v>29</v>
      </c>
      <c r="F496" t="s">
        <v>27</v>
      </c>
      <c r="G496" t="s">
        <v>30</v>
      </c>
      <c r="H496" t="s">
        <v>31</v>
      </c>
      <c r="I496">
        <v>5</v>
      </c>
      <c r="J496">
        <v>350</v>
      </c>
      <c r="K496">
        <v>0</v>
      </c>
      <c r="L496" t="s">
        <v>34</v>
      </c>
      <c r="M496">
        <f>I496*J496*(1-K496/100)</f>
        <v>1750</v>
      </c>
      <c r="N496" t="str">
        <f>TEXT(B496,"yyyy-mm")</f>
        <v>2025-09</v>
      </c>
    </row>
    <row r="497" spans="1:14" x14ac:dyDescent="0.3">
      <c r="A497">
        <v>5856</v>
      </c>
      <c r="B497" s="1">
        <v>45971</v>
      </c>
      <c r="C497">
        <v>1030</v>
      </c>
      <c r="D497" t="s">
        <v>68</v>
      </c>
      <c r="E497" t="s">
        <v>29</v>
      </c>
      <c r="F497" t="s">
        <v>27</v>
      </c>
      <c r="G497" t="s">
        <v>65</v>
      </c>
      <c r="H497" t="s">
        <v>16</v>
      </c>
      <c r="I497">
        <v>5</v>
      </c>
      <c r="J497">
        <v>12000</v>
      </c>
      <c r="K497">
        <v>5</v>
      </c>
      <c r="L497" t="s">
        <v>34</v>
      </c>
      <c r="M497">
        <f>I497*J497*(1-K497/100)</f>
        <v>57000</v>
      </c>
      <c r="N497" t="str">
        <f>TEXT(B497,"yyyy-mm")</f>
        <v>2025-11</v>
      </c>
    </row>
    <row r="498" spans="1:14" x14ac:dyDescent="0.3">
      <c r="A498">
        <v>5219</v>
      </c>
      <c r="B498" s="1">
        <v>45737</v>
      </c>
      <c r="C498">
        <v>1030</v>
      </c>
      <c r="D498" t="s">
        <v>68</v>
      </c>
      <c r="E498" t="s">
        <v>29</v>
      </c>
      <c r="F498" t="s">
        <v>27</v>
      </c>
      <c r="G498" t="s">
        <v>15</v>
      </c>
      <c r="H498" t="s">
        <v>16</v>
      </c>
      <c r="I498">
        <v>4</v>
      </c>
      <c r="J498">
        <v>18000</v>
      </c>
      <c r="K498">
        <v>15</v>
      </c>
      <c r="L498" t="s">
        <v>20</v>
      </c>
      <c r="M498">
        <f>I498*J498*(1-K498/100)</f>
        <v>61200</v>
      </c>
      <c r="N498" t="str">
        <f>TEXT(B498,"yyyy-mm")</f>
        <v>2025-03</v>
      </c>
    </row>
    <row r="499" spans="1:14" x14ac:dyDescent="0.3">
      <c r="A499">
        <v>5998</v>
      </c>
      <c r="B499" s="1">
        <v>46022</v>
      </c>
      <c r="C499">
        <v>1030</v>
      </c>
      <c r="D499" t="s">
        <v>68</v>
      </c>
      <c r="E499" t="s">
        <v>29</v>
      </c>
      <c r="F499" t="s">
        <v>27</v>
      </c>
      <c r="G499" t="s">
        <v>65</v>
      </c>
      <c r="H499" t="s">
        <v>16</v>
      </c>
      <c r="I499">
        <v>4</v>
      </c>
      <c r="J499">
        <v>12000</v>
      </c>
      <c r="K499">
        <v>0</v>
      </c>
      <c r="L499" t="s">
        <v>34</v>
      </c>
      <c r="M499">
        <f>I499*J499*(1-K499/100)</f>
        <v>48000</v>
      </c>
      <c r="N499" t="str">
        <f>TEXT(B499,"yyyy-mm")</f>
        <v>2025-12</v>
      </c>
    </row>
    <row r="500" spans="1:14" x14ac:dyDescent="0.3">
      <c r="A500">
        <v>5053</v>
      </c>
      <c r="B500" s="1">
        <v>45675</v>
      </c>
      <c r="C500">
        <v>1030</v>
      </c>
      <c r="D500" t="s">
        <v>68</v>
      </c>
      <c r="E500" t="s">
        <v>29</v>
      </c>
      <c r="F500" t="s">
        <v>27</v>
      </c>
      <c r="G500" t="s">
        <v>40</v>
      </c>
      <c r="H500" t="s">
        <v>38</v>
      </c>
      <c r="I500">
        <v>3</v>
      </c>
      <c r="J500">
        <v>900</v>
      </c>
      <c r="K500">
        <v>0</v>
      </c>
      <c r="L500" t="s">
        <v>20</v>
      </c>
      <c r="M500">
        <f>I500*J500*(1-K500/100)</f>
        <v>2700</v>
      </c>
      <c r="N500" t="str">
        <f>TEXT(B500,"yyyy-mm")</f>
        <v>2025-01</v>
      </c>
    </row>
    <row r="501" spans="1:14" x14ac:dyDescent="0.3">
      <c r="A501">
        <v>5249</v>
      </c>
      <c r="B501" s="1">
        <v>45747</v>
      </c>
      <c r="C501">
        <v>1030</v>
      </c>
      <c r="D501" t="s">
        <v>68</v>
      </c>
      <c r="E501" t="s">
        <v>29</v>
      </c>
      <c r="F501" t="s">
        <v>27</v>
      </c>
      <c r="G501" t="s">
        <v>30</v>
      </c>
      <c r="H501" t="s">
        <v>31</v>
      </c>
      <c r="I501">
        <v>3</v>
      </c>
      <c r="J501">
        <v>350</v>
      </c>
      <c r="K501">
        <v>5</v>
      </c>
      <c r="L501" t="s">
        <v>34</v>
      </c>
      <c r="M501">
        <f>I501*J501*(1-K501/100)</f>
        <v>997.5</v>
      </c>
      <c r="N501" t="str">
        <f>TEXT(B501,"yyyy-mm")</f>
        <v>2025-03</v>
      </c>
    </row>
    <row r="502" spans="1:14" x14ac:dyDescent="0.3">
      <c r="A502">
        <v>5514</v>
      </c>
      <c r="B502" s="1">
        <v>45851</v>
      </c>
      <c r="C502">
        <v>1030</v>
      </c>
      <c r="D502" t="s">
        <v>68</v>
      </c>
      <c r="E502" t="s">
        <v>29</v>
      </c>
      <c r="F502" t="s">
        <v>27</v>
      </c>
      <c r="G502" t="s">
        <v>55</v>
      </c>
      <c r="H502" t="s">
        <v>16</v>
      </c>
      <c r="I502">
        <v>3</v>
      </c>
      <c r="J502">
        <v>2500</v>
      </c>
      <c r="K502">
        <v>5</v>
      </c>
      <c r="L502" t="s">
        <v>25</v>
      </c>
      <c r="M502">
        <f>I502*J502*(1-K502/100)</f>
        <v>7125</v>
      </c>
      <c r="N502" t="str">
        <f>TEXT(B502,"yyyy-mm")</f>
        <v>2025-07</v>
      </c>
    </row>
    <row r="503" spans="1:14" x14ac:dyDescent="0.3">
      <c r="A503">
        <v>5618</v>
      </c>
      <c r="B503" s="1">
        <v>45889</v>
      </c>
      <c r="C503">
        <v>1030</v>
      </c>
      <c r="D503" t="s">
        <v>68</v>
      </c>
      <c r="E503" t="s">
        <v>29</v>
      </c>
      <c r="F503" t="s">
        <v>27</v>
      </c>
      <c r="G503" t="s">
        <v>24</v>
      </c>
      <c r="H503" t="s">
        <v>16</v>
      </c>
      <c r="I503">
        <v>2</v>
      </c>
      <c r="J503">
        <v>22000</v>
      </c>
      <c r="K503">
        <v>10</v>
      </c>
      <c r="L503" t="s">
        <v>43</v>
      </c>
      <c r="M503">
        <f>I503*J503*(1-K503/100)</f>
        <v>39600</v>
      </c>
      <c r="N503" t="str">
        <f>TEXT(B503,"yyyy-mm")</f>
        <v>2025-08</v>
      </c>
    </row>
    <row r="504" spans="1:14" x14ac:dyDescent="0.3">
      <c r="A504">
        <v>5192</v>
      </c>
      <c r="B504" s="1">
        <v>45722</v>
      </c>
      <c r="C504">
        <v>1030</v>
      </c>
      <c r="D504" t="s">
        <v>68</v>
      </c>
      <c r="E504" t="s">
        <v>29</v>
      </c>
      <c r="F504" t="s">
        <v>27</v>
      </c>
      <c r="G504" t="s">
        <v>40</v>
      </c>
      <c r="H504" t="s">
        <v>38</v>
      </c>
      <c r="I504">
        <v>1</v>
      </c>
      <c r="J504">
        <v>900</v>
      </c>
      <c r="K504">
        <v>0</v>
      </c>
      <c r="L504" t="s">
        <v>17</v>
      </c>
      <c r="M504">
        <f>I504*J504*(1-K504/100)</f>
        <v>900</v>
      </c>
      <c r="N504" t="str">
        <f>TEXT(B504,"yyyy-mm")</f>
        <v>2025-03</v>
      </c>
    </row>
    <row r="505" spans="1:14" x14ac:dyDescent="0.3">
      <c r="A505">
        <v>5160</v>
      </c>
      <c r="B505" s="1">
        <v>45711</v>
      </c>
      <c r="C505">
        <v>1031</v>
      </c>
      <c r="D505" t="s">
        <v>75</v>
      </c>
      <c r="E505" t="s">
        <v>13</v>
      </c>
      <c r="F505" t="s">
        <v>27</v>
      </c>
      <c r="G505" t="s">
        <v>65</v>
      </c>
      <c r="H505" t="s">
        <v>16</v>
      </c>
      <c r="I505">
        <v>4</v>
      </c>
      <c r="J505">
        <v>12000</v>
      </c>
      <c r="K505">
        <v>0</v>
      </c>
      <c r="L505" t="s">
        <v>17</v>
      </c>
      <c r="M505">
        <f>I505*J505*(1-K505/100)</f>
        <v>48000</v>
      </c>
      <c r="N505" t="str">
        <f>TEXT(B505,"yyyy-mm")</f>
        <v>2025-02</v>
      </c>
    </row>
    <row r="506" spans="1:14" x14ac:dyDescent="0.3">
      <c r="A506">
        <v>5766</v>
      </c>
      <c r="B506" s="1">
        <v>45943</v>
      </c>
      <c r="C506">
        <v>1031</v>
      </c>
      <c r="D506" t="s">
        <v>75</v>
      </c>
      <c r="E506" t="s">
        <v>13</v>
      </c>
      <c r="F506" t="s">
        <v>27</v>
      </c>
      <c r="G506" t="s">
        <v>55</v>
      </c>
      <c r="H506" t="s">
        <v>16</v>
      </c>
      <c r="I506">
        <v>4</v>
      </c>
      <c r="J506">
        <v>2500</v>
      </c>
      <c r="K506">
        <v>0</v>
      </c>
      <c r="L506" t="s">
        <v>17</v>
      </c>
      <c r="M506">
        <f>I506*J506*(1-K506/100)</f>
        <v>10000</v>
      </c>
      <c r="N506" t="str">
        <f>TEXT(B506,"yyyy-mm")</f>
        <v>2025-10</v>
      </c>
    </row>
    <row r="507" spans="1:14" x14ac:dyDescent="0.3">
      <c r="A507">
        <v>5318</v>
      </c>
      <c r="B507" s="1">
        <v>45773</v>
      </c>
      <c r="C507">
        <v>1031</v>
      </c>
      <c r="D507" t="s">
        <v>75</v>
      </c>
      <c r="E507" t="s">
        <v>13</v>
      </c>
      <c r="F507" t="s">
        <v>27</v>
      </c>
      <c r="G507" t="s">
        <v>55</v>
      </c>
      <c r="H507" t="s">
        <v>16</v>
      </c>
      <c r="I507">
        <v>3</v>
      </c>
      <c r="J507">
        <v>2500</v>
      </c>
      <c r="K507">
        <v>0</v>
      </c>
      <c r="L507" t="s">
        <v>25</v>
      </c>
      <c r="M507">
        <f>I507*J507*(1-K507/100)</f>
        <v>7500</v>
      </c>
      <c r="N507" t="str">
        <f>TEXT(B507,"yyyy-mm")</f>
        <v>2025-04</v>
      </c>
    </row>
    <row r="508" spans="1:14" x14ac:dyDescent="0.3">
      <c r="A508">
        <v>5467</v>
      </c>
      <c r="B508" s="1">
        <v>45836</v>
      </c>
      <c r="C508">
        <v>1031</v>
      </c>
      <c r="D508" t="s">
        <v>75</v>
      </c>
      <c r="E508" t="s">
        <v>13</v>
      </c>
      <c r="F508" t="s">
        <v>27</v>
      </c>
      <c r="G508" t="s">
        <v>36</v>
      </c>
      <c r="H508" t="s">
        <v>16</v>
      </c>
      <c r="I508">
        <v>3</v>
      </c>
      <c r="J508">
        <v>55000</v>
      </c>
      <c r="K508">
        <v>0</v>
      </c>
      <c r="L508" t="s">
        <v>25</v>
      </c>
      <c r="M508">
        <f>I508*J508*(1-K508/100)</f>
        <v>165000</v>
      </c>
      <c r="N508" t="str">
        <f>TEXT(B508,"yyyy-mm")</f>
        <v>2025-06</v>
      </c>
    </row>
    <row r="509" spans="1:14" x14ac:dyDescent="0.3">
      <c r="A509">
        <v>5954</v>
      </c>
      <c r="B509" s="1">
        <v>46008</v>
      </c>
      <c r="C509">
        <v>1031</v>
      </c>
      <c r="D509" t="s">
        <v>75</v>
      </c>
      <c r="E509" t="s">
        <v>13</v>
      </c>
      <c r="F509" t="s">
        <v>27</v>
      </c>
      <c r="G509" t="s">
        <v>65</v>
      </c>
      <c r="H509" t="s">
        <v>16</v>
      </c>
      <c r="I509">
        <v>3</v>
      </c>
      <c r="J509">
        <v>12000</v>
      </c>
      <c r="K509">
        <v>0</v>
      </c>
      <c r="L509" t="s">
        <v>34</v>
      </c>
      <c r="M509">
        <f>I509*J509*(1-K509/100)</f>
        <v>36000</v>
      </c>
      <c r="N509" t="str">
        <f>TEXT(B509,"yyyy-mm")</f>
        <v>2025-12</v>
      </c>
    </row>
    <row r="510" spans="1:14" x14ac:dyDescent="0.3">
      <c r="A510">
        <v>5964</v>
      </c>
      <c r="B510" s="1">
        <v>46009</v>
      </c>
      <c r="C510">
        <v>1031</v>
      </c>
      <c r="D510" t="s">
        <v>75</v>
      </c>
      <c r="E510" t="s">
        <v>13</v>
      </c>
      <c r="F510" t="s">
        <v>27</v>
      </c>
      <c r="G510" t="s">
        <v>30</v>
      </c>
      <c r="H510" t="s">
        <v>31</v>
      </c>
      <c r="I510">
        <v>3</v>
      </c>
      <c r="J510">
        <v>350</v>
      </c>
      <c r="K510">
        <v>10</v>
      </c>
      <c r="L510" t="s">
        <v>17</v>
      </c>
      <c r="M510">
        <f>I510*J510*(1-K510/100)</f>
        <v>945</v>
      </c>
      <c r="N510" t="str">
        <f>TEXT(B510,"yyyy-mm")</f>
        <v>2025-12</v>
      </c>
    </row>
    <row r="511" spans="1:14" x14ac:dyDescent="0.3">
      <c r="A511">
        <v>5142</v>
      </c>
      <c r="B511" s="1">
        <v>45706</v>
      </c>
      <c r="C511">
        <v>1031</v>
      </c>
      <c r="D511" t="s">
        <v>75</v>
      </c>
      <c r="E511" t="s">
        <v>13</v>
      </c>
      <c r="F511" t="s">
        <v>27</v>
      </c>
      <c r="G511" t="s">
        <v>42</v>
      </c>
      <c r="H511" t="s">
        <v>31</v>
      </c>
      <c r="I511">
        <v>2</v>
      </c>
      <c r="J511">
        <v>200</v>
      </c>
      <c r="K511">
        <v>0</v>
      </c>
      <c r="L511" t="s">
        <v>17</v>
      </c>
      <c r="M511">
        <f>I511*J511*(1-K511/100)</f>
        <v>400</v>
      </c>
      <c r="N511" t="str">
        <f>TEXT(B511,"yyyy-mm")</f>
        <v>2025-02</v>
      </c>
    </row>
    <row r="512" spans="1:14" x14ac:dyDescent="0.3">
      <c r="A512">
        <v>5190</v>
      </c>
      <c r="B512" s="1">
        <v>45721</v>
      </c>
      <c r="C512">
        <v>1031</v>
      </c>
      <c r="D512" t="s">
        <v>75</v>
      </c>
      <c r="E512" t="s">
        <v>13</v>
      </c>
      <c r="F512" t="s">
        <v>27</v>
      </c>
      <c r="G512" t="s">
        <v>52</v>
      </c>
      <c r="H512" t="s">
        <v>16</v>
      </c>
      <c r="I512">
        <v>2</v>
      </c>
      <c r="J512">
        <v>6000</v>
      </c>
      <c r="K512">
        <v>0</v>
      </c>
      <c r="L512" t="s">
        <v>43</v>
      </c>
      <c r="M512">
        <f>I512*J512*(1-K512/100)</f>
        <v>12000</v>
      </c>
      <c r="N512" t="str">
        <f>TEXT(B512,"yyyy-mm")</f>
        <v>2025-03</v>
      </c>
    </row>
    <row r="513" spans="1:14" x14ac:dyDescent="0.3">
      <c r="A513">
        <v>5079</v>
      </c>
      <c r="B513" s="1">
        <v>45687</v>
      </c>
      <c r="C513">
        <v>1031</v>
      </c>
      <c r="D513" t="s">
        <v>75</v>
      </c>
      <c r="E513" t="s">
        <v>13</v>
      </c>
      <c r="F513" t="s">
        <v>27</v>
      </c>
      <c r="G513" t="s">
        <v>65</v>
      </c>
      <c r="H513" t="s">
        <v>16</v>
      </c>
      <c r="I513">
        <v>1</v>
      </c>
      <c r="J513">
        <v>12000</v>
      </c>
      <c r="K513">
        <v>0</v>
      </c>
      <c r="L513" t="s">
        <v>20</v>
      </c>
      <c r="M513">
        <f>I513*J513*(1-K513/100)</f>
        <v>12000</v>
      </c>
      <c r="N513" t="str">
        <f>TEXT(B513,"yyyy-mm")</f>
        <v>2025-01</v>
      </c>
    </row>
    <row r="514" spans="1:14" x14ac:dyDescent="0.3">
      <c r="A514">
        <v>5283</v>
      </c>
      <c r="B514" s="1">
        <v>45763</v>
      </c>
      <c r="C514">
        <v>1031</v>
      </c>
      <c r="D514" t="s">
        <v>75</v>
      </c>
      <c r="E514" t="s">
        <v>13</v>
      </c>
      <c r="F514" t="s">
        <v>27</v>
      </c>
      <c r="G514" t="s">
        <v>36</v>
      </c>
      <c r="H514" t="s">
        <v>16</v>
      </c>
      <c r="I514">
        <v>1</v>
      </c>
      <c r="J514">
        <v>55000</v>
      </c>
      <c r="K514">
        <v>5</v>
      </c>
      <c r="L514" t="s">
        <v>17</v>
      </c>
      <c r="M514">
        <f>I514*J514*(1-K514/100)</f>
        <v>52250</v>
      </c>
      <c r="N514" t="str">
        <f>TEXT(B514,"yyyy-mm")</f>
        <v>2025-04</v>
      </c>
    </row>
    <row r="515" spans="1:14" x14ac:dyDescent="0.3">
      <c r="A515">
        <v>5380</v>
      </c>
      <c r="B515" s="1">
        <v>45805</v>
      </c>
      <c r="C515">
        <v>1031</v>
      </c>
      <c r="D515" t="s">
        <v>75</v>
      </c>
      <c r="E515" t="s">
        <v>13</v>
      </c>
      <c r="F515" t="s">
        <v>27</v>
      </c>
      <c r="G515" t="s">
        <v>55</v>
      </c>
      <c r="H515" t="s">
        <v>16</v>
      </c>
      <c r="I515">
        <v>1</v>
      </c>
      <c r="J515">
        <v>2500</v>
      </c>
      <c r="K515">
        <v>0</v>
      </c>
      <c r="L515" t="s">
        <v>20</v>
      </c>
      <c r="M515">
        <f>I515*J515*(1-K515/100)</f>
        <v>2500</v>
      </c>
      <c r="N515" t="str">
        <f>TEXT(B515,"yyyy-mm")</f>
        <v>2025-05</v>
      </c>
    </row>
    <row r="516" spans="1:14" x14ac:dyDescent="0.3">
      <c r="A516">
        <v>5437</v>
      </c>
      <c r="B516" s="1">
        <v>45825</v>
      </c>
      <c r="C516">
        <v>1031</v>
      </c>
      <c r="D516" t="s">
        <v>75</v>
      </c>
      <c r="E516" t="s">
        <v>13</v>
      </c>
      <c r="F516" t="s">
        <v>27</v>
      </c>
      <c r="G516" t="s">
        <v>52</v>
      </c>
      <c r="H516" t="s">
        <v>16</v>
      </c>
      <c r="I516">
        <v>1</v>
      </c>
      <c r="J516">
        <v>6000</v>
      </c>
      <c r="K516">
        <v>0</v>
      </c>
      <c r="L516" t="s">
        <v>43</v>
      </c>
      <c r="M516">
        <f>I516*J516*(1-K516/100)</f>
        <v>6000</v>
      </c>
      <c r="N516" t="str">
        <f>TEXT(B516,"yyyy-mm")</f>
        <v>2025-06</v>
      </c>
    </row>
    <row r="517" spans="1:14" x14ac:dyDescent="0.3">
      <c r="A517">
        <v>5951</v>
      </c>
      <c r="B517" s="1">
        <v>46007</v>
      </c>
      <c r="C517">
        <v>1031</v>
      </c>
      <c r="D517" t="s">
        <v>75</v>
      </c>
      <c r="E517" t="s">
        <v>13</v>
      </c>
      <c r="F517" t="s">
        <v>27</v>
      </c>
      <c r="G517" t="s">
        <v>42</v>
      </c>
      <c r="H517" t="s">
        <v>31</v>
      </c>
      <c r="I517">
        <v>1</v>
      </c>
      <c r="J517">
        <v>200</v>
      </c>
      <c r="K517">
        <v>0</v>
      </c>
      <c r="L517" t="s">
        <v>17</v>
      </c>
      <c r="M517">
        <f>I517*J517*(1-K517/100)</f>
        <v>200</v>
      </c>
      <c r="N517" t="str">
        <f>TEXT(B517,"yyyy-mm")</f>
        <v>2025-12</v>
      </c>
    </row>
    <row r="518" spans="1:14" x14ac:dyDescent="0.3">
      <c r="A518">
        <v>5092</v>
      </c>
      <c r="B518" s="1">
        <v>45692</v>
      </c>
      <c r="C518">
        <v>1032</v>
      </c>
      <c r="D518" t="s">
        <v>41</v>
      </c>
      <c r="E518" t="s">
        <v>33</v>
      </c>
      <c r="F518" t="s">
        <v>27</v>
      </c>
      <c r="G518" t="s">
        <v>55</v>
      </c>
      <c r="H518" t="s">
        <v>16</v>
      </c>
      <c r="I518">
        <v>5</v>
      </c>
      <c r="J518">
        <v>2500</v>
      </c>
      <c r="K518">
        <v>10</v>
      </c>
      <c r="L518" t="s">
        <v>34</v>
      </c>
      <c r="M518">
        <f>I518*J518*(1-K518/100)</f>
        <v>11250</v>
      </c>
      <c r="N518" t="str">
        <f>TEXT(B518,"yyyy-mm")</f>
        <v>2025-02</v>
      </c>
    </row>
    <row r="519" spans="1:14" x14ac:dyDescent="0.3">
      <c r="A519">
        <v>5201</v>
      </c>
      <c r="B519" s="1">
        <v>45727</v>
      </c>
      <c r="C519">
        <v>1032</v>
      </c>
      <c r="D519" t="s">
        <v>41</v>
      </c>
      <c r="E519" t="s">
        <v>33</v>
      </c>
      <c r="F519" t="s">
        <v>27</v>
      </c>
      <c r="G519" t="s">
        <v>40</v>
      </c>
      <c r="H519" t="s">
        <v>38</v>
      </c>
      <c r="I519">
        <v>4</v>
      </c>
      <c r="J519">
        <v>900</v>
      </c>
      <c r="K519">
        <v>0</v>
      </c>
      <c r="L519" t="s">
        <v>25</v>
      </c>
      <c r="M519">
        <f>I519*J519*(1-K519/100)</f>
        <v>3600</v>
      </c>
      <c r="N519" t="str">
        <f>TEXT(B519,"yyyy-mm")</f>
        <v>2025-03</v>
      </c>
    </row>
    <row r="520" spans="1:14" x14ac:dyDescent="0.3">
      <c r="A520">
        <v>5369</v>
      </c>
      <c r="B520" s="1">
        <v>45798</v>
      </c>
      <c r="C520">
        <v>1032</v>
      </c>
      <c r="D520" t="s">
        <v>41</v>
      </c>
      <c r="E520" t="s">
        <v>33</v>
      </c>
      <c r="F520" t="s">
        <v>27</v>
      </c>
      <c r="G520" t="s">
        <v>15</v>
      </c>
      <c r="H520" t="s">
        <v>16</v>
      </c>
      <c r="I520">
        <v>4</v>
      </c>
      <c r="J520">
        <v>18000</v>
      </c>
      <c r="K520">
        <v>0</v>
      </c>
      <c r="L520" t="s">
        <v>20</v>
      </c>
      <c r="M520">
        <f>I520*J520*(1-K520/100)</f>
        <v>72000</v>
      </c>
      <c r="N520" t="str">
        <f>TEXT(B520,"yyyy-mm")</f>
        <v>2025-05</v>
      </c>
    </row>
    <row r="521" spans="1:14" x14ac:dyDescent="0.3">
      <c r="A521">
        <v>5386</v>
      </c>
      <c r="B521" s="1">
        <v>45808</v>
      </c>
      <c r="C521">
        <v>1032</v>
      </c>
      <c r="D521" t="s">
        <v>41</v>
      </c>
      <c r="E521" t="s">
        <v>33</v>
      </c>
      <c r="F521" t="s">
        <v>27</v>
      </c>
      <c r="G521" t="s">
        <v>57</v>
      </c>
      <c r="H521" t="s">
        <v>38</v>
      </c>
      <c r="I521">
        <v>4</v>
      </c>
      <c r="J521">
        <v>16000</v>
      </c>
      <c r="K521">
        <v>5</v>
      </c>
      <c r="L521" t="s">
        <v>17</v>
      </c>
      <c r="M521">
        <f>I521*J521*(1-K521/100)</f>
        <v>60800</v>
      </c>
      <c r="N521" t="str">
        <f>TEXT(B521,"yyyy-mm")</f>
        <v>2025-05</v>
      </c>
    </row>
    <row r="522" spans="1:14" x14ac:dyDescent="0.3">
      <c r="A522">
        <v>5602</v>
      </c>
      <c r="B522" s="1">
        <v>45884</v>
      </c>
      <c r="C522">
        <v>1032</v>
      </c>
      <c r="D522" t="s">
        <v>41</v>
      </c>
      <c r="E522" t="s">
        <v>33</v>
      </c>
      <c r="F522" t="s">
        <v>27</v>
      </c>
      <c r="G522" t="s">
        <v>55</v>
      </c>
      <c r="H522" t="s">
        <v>16</v>
      </c>
      <c r="I522">
        <v>4</v>
      </c>
      <c r="J522">
        <v>2500</v>
      </c>
      <c r="K522">
        <v>5</v>
      </c>
      <c r="L522" t="s">
        <v>34</v>
      </c>
      <c r="M522">
        <f>I522*J522*(1-K522/100)</f>
        <v>9500</v>
      </c>
      <c r="N522" t="str">
        <f>TEXT(B522,"yyyy-mm")</f>
        <v>2025-08</v>
      </c>
    </row>
    <row r="523" spans="1:14" x14ac:dyDescent="0.3">
      <c r="A523">
        <v>5691</v>
      </c>
      <c r="B523" s="1">
        <v>45919</v>
      </c>
      <c r="C523">
        <v>1032</v>
      </c>
      <c r="D523" t="s">
        <v>41</v>
      </c>
      <c r="E523" t="s">
        <v>33</v>
      </c>
      <c r="F523" t="s">
        <v>27</v>
      </c>
      <c r="G523" t="s">
        <v>36</v>
      </c>
      <c r="H523" t="s">
        <v>16</v>
      </c>
      <c r="I523">
        <v>4</v>
      </c>
      <c r="J523">
        <v>55000</v>
      </c>
      <c r="K523">
        <v>0</v>
      </c>
      <c r="L523" t="s">
        <v>20</v>
      </c>
      <c r="M523">
        <f>I523*J523*(1-K523/100)</f>
        <v>220000</v>
      </c>
      <c r="N523" t="str">
        <f>TEXT(B523,"yyyy-mm")</f>
        <v>2025-09</v>
      </c>
    </row>
    <row r="524" spans="1:14" x14ac:dyDescent="0.3">
      <c r="A524">
        <v>5729</v>
      </c>
      <c r="B524" s="1">
        <v>45930</v>
      </c>
      <c r="C524">
        <v>1032</v>
      </c>
      <c r="D524" t="s">
        <v>41</v>
      </c>
      <c r="E524" t="s">
        <v>33</v>
      </c>
      <c r="F524" t="s">
        <v>27</v>
      </c>
      <c r="G524" t="s">
        <v>30</v>
      </c>
      <c r="H524" t="s">
        <v>31</v>
      </c>
      <c r="I524">
        <v>4</v>
      </c>
      <c r="J524">
        <v>350</v>
      </c>
      <c r="K524">
        <v>0</v>
      </c>
      <c r="L524" t="s">
        <v>34</v>
      </c>
      <c r="M524">
        <f>I524*J524*(1-K524/100)</f>
        <v>1400</v>
      </c>
      <c r="N524" t="str">
        <f>TEXT(B524,"yyyy-mm")</f>
        <v>2025-09</v>
      </c>
    </row>
    <row r="525" spans="1:14" x14ac:dyDescent="0.3">
      <c r="A525">
        <v>5748</v>
      </c>
      <c r="B525" s="1">
        <v>45938</v>
      </c>
      <c r="C525">
        <v>1032</v>
      </c>
      <c r="D525" t="s">
        <v>41</v>
      </c>
      <c r="E525" t="s">
        <v>33</v>
      </c>
      <c r="F525" t="s">
        <v>27</v>
      </c>
      <c r="G525" t="s">
        <v>55</v>
      </c>
      <c r="H525" t="s">
        <v>16</v>
      </c>
      <c r="I525">
        <v>4</v>
      </c>
      <c r="J525">
        <v>2500</v>
      </c>
      <c r="K525">
        <v>0</v>
      </c>
      <c r="L525" t="s">
        <v>25</v>
      </c>
      <c r="M525">
        <f>I525*J525*(1-K525/100)</f>
        <v>10000</v>
      </c>
      <c r="N525" t="str">
        <f>TEXT(B525,"yyyy-mm")</f>
        <v>2025-10</v>
      </c>
    </row>
    <row r="526" spans="1:14" x14ac:dyDescent="0.3">
      <c r="A526">
        <v>5011</v>
      </c>
      <c r="B526" s="1">
        <v>45660</v>
      </c>
      <c r="C526">
        <v>1032</v>
      </c>
      <c r="D526" t="s">
        <v>41</v>
      </c>
      <c r="E526" t="s">
        <v>33</v>
      </c>
      <c r="F526" t="s">
        <v>27</v>
      </c>
      <c r="G526" t="s">
        <v>36</v>
      </c>
      <c r="H526" t="s">
        <v>16</v>
      </c>
      <c r="I526">
        <v>3</v>
      </c>
      <c r="J526">
        <v>55000</v>
      </c>
      <c r="K526">
        <v>10</v>
      </c>
      <c r="L526" t="s">
        <v>25</v>
      </c>
      <c r="M526">
        <f>I526*J526*(1-K526/100)</f>
        <v>148500</v>
      </c>
      <c r="N526" t="str">
        <f>TEXT(B526,"yyyy-mm")</f>
        <v>2025-01</v>
      </c>
    </row>
    <row r="527" spans="1:14" x14ac:dyDescent="0.3">
      <c r="A527">
        <v>5500</v>
      </c>
      <c r="B527" s="1">
        <v>45846</v>
      </c>
      <c r="C527">
        <v>1032</v>
      </c>
      <c r="D527" t="s">
        <v>41</v>
      </c>
      <c r="E527" t="s">
        <v>33</v>
      </c>
      <c r="F527" t="s">
        <v>27</v>
      </c>
      <c r="G527" t="s">
        <v>40</v>
      </c>
      <c r="H527" t="s">
        <v>38</v>
      </c>
      <c r="I527">
        <v>3</v>
      </c>
      <c r="J527">
        <v>900</v>
      </c>
      <c r="K527">
        <v>0</v>
      </c>
      <c r="L527" t="s">
        <v>43</v>
      </c>
      <c r="M527">
        <f>I527*J527*(1-K527/100)</f>
        <v>2700</v>
      </c>
      <c r="N527" t="str">
        <f>TEXT(B527,"yyyy-mm")</f>
        <v>2025-07</v>
      </c>
    </row>
    <row r="528" spans="1:14" x14ac:dyDescent="0.3">
      <c r="A528">
        <v>5620</v>
      </c>
      <c r="B528" s="1">
        <v>45890</v>
      </c>
      <c r="C528">
        <v>1032</v>
      </c>
      <c r="D528" t="s">
        <v>41</v>
      </c>
      <c r="E528" t="s">
        <v>33</v>
      </c>
      <c r="F528" t="s">
        <v>27</v>
      </c>
      <c r="G528" t="s">
        <v>40</v>
      </c>
      <c r="H528" t="s">
        <v>38</v>
      </c>
      <c r="I528">
        <v>3</v>
      </c>
      <c r="J528">
        <v>900</v>
      </c>
      <c r="K528">
        <v>0</v>
      </c>
      <c r="L528" t="s">
        <v>20</v>
      </c>
      <c r="M528">
        <f>I528*J528*(1-K528/100)</f>
        <v>2700</v>
      </c>
      <c r="N528" t="str">
        <f>TEXT(B528,"yyyy-mm")</f>
        <v>2025-08</v>
      </c>
    </row>
    <row r="529" spans="1:14" x14ac:dyDescent="0.3">
      <c r="A529">
        <v>5833</v>
      </c>
      <c r="B529" s="1">
        <v>45965</v>
      </c>
      <c r="C529">
        <v>1032</v>
      </c>
      <c r="D529" t="s">
        <v>41</v>
      </c>
      <c r="E529" t="s">
        <v>33</v>
      </c>
      <c r="F529" t="s">
        <v>27</v>
      </c>
      <c r="G529" t="s">
        <v>19</v>
      </c>
      <c r="H529" t="s">
        <v>16</v>
      </c>
      <c r="I529">
        <v>3</v>
      </c>
      <c r="J529">
        <v>9500</v>
      </c>
      <c r="K529">
        <v>10</v>
      </c>
      <c r="L529" t="s">
        <v>17</v>
      </c>
      <c r="M529">
        <f>I529*J529*(1-K529/100)</f>
        <v>25650</v>
      </c>
      <c r="N529" t="str">
        <f>TEXT(B529,"yyyy-mm")</f>
        <v>2025-11</v>
      </c>
    </row>
    <row r="530" spans="1:14" x14ac:dyDescent="0.3">
      <c r="A530">
        <v>5365</v>
      </c>
      <c r="B530" s="1">
        <v>45796</v>
      </c>
      <c r="C530">
        <v>1032</v>
      </c>
      <c r="D530" t="s">
        <v>41</v>
      </c>
      <c r="E530" t="s">
        <v>33</v>
      </c>
      <c r="F530" t="s">
        <v>27</v>
      </c>
      <c r="G530" t="s">
        <v>65</v>
      </c>
      <c r="H530" t="s">
        <v>16</v>
      </c>
      <c r="I530">
        <v>2</v>
      </c>
      <c r="J530">
        <v>12000</v>
      </c>
      <c r="K530">
        <v>0</v>
      </c>
      <c r="L530" t="s">
        <v>17</v>
      </c>
      <c r="M530">
        <f>I530*J530*(1-K530/100)</f>
        <v>24000</v>
      </c>
      <c r="N530" t="str">
        <f>TEXT(B530,"yyyy-mm")</f>
        <v>2025-05</v>
      </c>
    </row>
    <row r="531" spans="1:14" x14ac:dyDescent="0.3">
      <c r="A531">
        <v>5559</v>
      </c>
      <c r="B531" s="1">
        <v>45868</v>
      </c>
      <c r="C531">
        <v>1032</v>
      </c>
      <c r="D531" t="s">
        <v>41</v>
      </c>
      <c r="E531" t="s">
        <v>33</v>
      </c>
      <c r="F531" t="s">
        <v>27</v>
      </c>
      <c r="G531" t="s">
        <v>19</v>
      </c>
      <c r="H531" t="s">
        <v>16</v>
      </c>
      <c r="I531">
        <v>2</v>
      </c>
      <c r="J531">
        <v>9500</v>
      </c>
      <c r="K531">
        <v>0</v>
      </c>
      <c r="L531" t="s">
        <v>43</v>
      </c>
      <c r="M531">
        <f>I531*J531*(1-K531/100)</f>
        <v>19000</v>
      </c>
      <c r="N531" t="str">
        <f>TEXT(B531,"yyyy-mm")</f>
        <v>2025-07</v>
      </c>
    </row>
    <row r="532" spans="1:14" x14ac:dyDescent="0.3">
      <c r="A532">
        <v>5658</v>
      </c>
      <c r="B532" s="1">
        <v>45904</v>
      </c>
      <c r="C532">
        <v>1032</v>
      </c>
      <c r="D532" t="s">
        <v>41</v>
      </c>
      <c r="E532" t="s">
        <v>33</v>
      </c>
      <c r="F532" t="s">
        <v>27</v>
      </c>
      <c r="G532" t="s">
        <v>37</v>
      </c>
      <c r="H532" t="s">
        <v>38</v>
      </c>
      <c r="I532">
        <v>2</v>
      </c>
      <c r="J532">
        <v>7500</v>
      </c>
      <c r="K532">
        <v>0</v>
      </c>
      <c r="L532" t="s">
        <v>34</v>
      </c>
      <c r="M532">
        <f>I532*J532*(1-K532/100)</f>
        <v>15000</v>
      </c>
      <c r="N532" t="str">
        <f>TEXT(B532,"yyyy-mm")</f>
        <v>2025-09</v>
      </c>
    </row>
    <row r="533" spans="1:14" x14ac:dyDescent="0.3">
      <c r="A533">
        <v>5253</v>
      </c>
      <c r="B533" s="1">
        <v>45749</v>
      </c>
      <c r="C533">
        <v>1032</v>
      </c>
      <c r="D533" t="s">
        <v>41</v>
      </c>
      <c r="E533" t="s">
        <v>87</v>
      </c>
      <c r="F533" t="s">
        <v>27</v>
      </c>
      <c r="G533" t="s">
        <v>65</v>
      </c>
      <c r="H533" t="s">
        <v>16</v>
      </c>
      <c r="I533">
        <v>1</v>
      </c>
      <c r="J533">
        <v>12000</v>
      </c>
      <c r="K533">
        <v>0</v>
      </c>
      <c r="L533" t="s">
        <v>34</v>
      </c>
      <c r="M533">
        <f>I533*J533*(1-K533/100)</f>
        <v>12000</v>
      </c>
      <c r="N533" t="str">
        <f>TEXT(B533,"yyyy-mm")</f>
        <v>2025-04</v>
      </c>
    </row>
    <row r="534" spans="1:14" x14ac:dyDescent="0.3">
      <c r="A534">
        <v>5420</v>
      </c>
      <c r="B534" s="1">
        <v>45819</v>
      </c>
      <c r="C534">
        <v>1032</v>
      </c>
      <c r="D534" t="s">
        <v>41</v>
      </c>
      <c r="E534" t="s">
        <v>33</v>
      </c>
      <c r="F534" t="s">
        <v>27</v>
      </c>
      <c r="G534" t="s">
        <v>57</v>
      </c>
      <c r="H534" t="s">
        <v>38</v>
      </c>
      <c r="I534">
        <v>1</v>
      </c>
      <c r="J534">
        <v>16000</v>
      </c>
      <c r="K534">
        <v>0</v>
      </c>
      <c r="L534" t="s">
        <v>43</v>
      </c>
      <c r="M534">
        <f>I534*J534*(1-K534/100)</f>
        <v>16000</v>
      </c>
      <c r="N534" t="str">
        <f>TEXT(B534,"yyyy-mm")</f>
        <v>2025-06</v>
      </c>
    </row>
    <row r="535" spans="1:14" x14ac:dyDescent="0.3">
      <c r="A535">
        <v>5549</v>
      </c>
      <c r="B535" s="1">
        <v>45861</v>
      </c>
      <c r="C535">
        <v>1032</v>
      </c>
      <c r="D535" t="s">
        <v>41</v>
      </c>
      <c r="E535" t="s">
        <v>33</v>
      </c>
      <c r="F535" t="s">
        <v>27</v>
      </c>
      <c r="G535" t="s">
        <v>65</v>
      </c>
      <c r="H535" t="s">
        <v>16</v>
      </c>
      <c r="I535">
        <v>1</v>
      </c>
      <c r="J535">
        <v>12000</v>
      </c>
      <c r="K535">
        <v>0</v>
      </c>
      <c r="L535" t="s">
        <v>43</v>
      </c>
      <c r="M535">
        <f>I535*J535*(1-K535/100)</f>
        <v>12000</v>
      </c>
      <c r="N535" t="str">
        <f>TEXT(B535,"yyyy-mm")</f>
        <v>2025-07</v>
      </c>
    </row>
    <row r="536" spans="1:14" x14ac:dyDescent="0.3">
      <c r="A536">
        <v>5616</v>
      </c>
      <c r="B536" s="1">
        <v>45889</v>
      </c>
      <c r="C536">
        <v>1032</v>
      </c>
      <c r="D536" t="s">
        <v>41</v>
      </c>
      <c r="E536" t="s">
        <v>33</v>
      </c>
      <c r="F536" t="s">
        <v>27</v>
      </c>
      <c r="G536" t="s">
        <v>24</v>
      </c>
      <c r="H536" t="s">
        <v>16</v>
      </c>
      <c r="I536">
        <v>1</v>
      </c>
      <c r="J536">
        <v>22000</v>
      </c>
      <c r="K536">
        <v>0</v>
      </c>
      <c r="L536" t="s">
        <v>25</v>
      </c>
      <c r="M536">
        <f>I536*J536*(1-K536/100)</f>
        <v>22000</v>
      </c>
      <c r="N536" t="str">
        <f>TEXT(B536,"yyyy-mm")</f>
        <v>2025-08</v>
      </c>
    </row>
    <row r="537" spans="1:14" x14ac:dyDescent="0.3">
      <c r="A537">
        <v>5657</v>
      </c>
      <c r="B537" s="1">
        <v>45903</v>
      </c>
      <c r="C537">
        <v>1032</v>
      </c>
      <c r="D537" t="s">
        <v>41</v>
      </c>
      <c r="E537" t="s">
        <v>33</v>
      </c>
      <c r="F537" t="s">
        <v>27</v>
      </c>
      <c r="G537" t="s">
        <v>24</v>
      </c>
      <c r="H537" t="s">
        <v>16</v>
      </c>
      <c r="I537">
        <v>1</v>
      </c>
      <c r="J537">
        <v>22000</v>
      </c>
      <c r="K537">
        <v>0</v>
      </c>
      <c r="L537" t="s">
        <v>17</v>
      </c>
      <c r="M537">
        <f>I537*J537*(1-K537/100)</f>
        <v>22000</v>
      </c>
      <c r="N537" t="str">
        <f>TEXT(B537,"yyyy-mm")</f>
        <v>2025-09</v>
      </c>
    </row>
    <row r="538" spans="1:14" x14ac:dyDescent="0.3">
      <c r="A538">
        <v>5035</v>
      </c>
      <c r="B538" s="1">
        <v>45669</v>
      </c>
      <c r="C538">
        <v>1033</v>
      </c>
      <c r="D538" t="s">
        <v>54</v>
      </c>
      <c r="E538" t="s">
        <v>13</v>
      </c>
      <c r="F538" t="s">
        <v>14</v>
      </c>
      <c r="G538" t="s">
        <v>15</v>
      </c>
      <c r="H538" t="s">
        <v>16</v>
      </c>
      <c r="I538">
        <v>5</v>
      </c>
      <c r="J538">
        <v>18000</v>
      </c>
      <c r="K538">
        <v>0</v>
      </c>
      <c r="L538" t="s">
        <v>20</v>
      </c>
      <c r="M538">
        <f>I538*J538*(1-K538/100)</f>
        <v>90000</v>
      </c>
      <c r="N538" t="str">
        <f>TEXT(B538,"yyyy-mm")</f>
        <v>2025-01</v>
      </c>
    </row>
    <row r="539" spans="1:14" x14ac:dyDescent="0.3">
      <c r="A539">
        <v>5080</v>
      </c>
      <c r="B539" s="1">
        <v>45688</v>
      </c>
      <c r="C539">
        <v>1033</v>
      </c>
      <c r="D539" t="s">
        <v>54</v>
      </c>
      <c r="E539" t="s">
        <v>13</v>
      </c>
      <c r="F539" t="s">
        <v>14</v>
      </c>
      <c r="G539" t="s">
        <v>24</v>
      </c>
      <c r="H539" t="s">
        <v>16</v>
      </c>
      <c r="I539">
        <v>5</v>
      </c>
      <c r="J539">
        <v>22000</v>
      </c>
      <c r="K539">
        <v>10</v>
      </c>
      <c r="L539" t="s">
        <v>20</v>
      </c>
      <c r="M539">
        <f>I539*J539*(1-K539/100)</f>
        <v>99000</v>
      </c>
      <c r="N539" t="str">
        <f>TEXT(B539,"yyyy-mm")</f>
        <v>2025-01</v>
      </c>
    </row>
    <row r="540" spans="1:14" x14ac:dyDescent="0.3">
      <c r="A540">
        <v>5622</v>
      </c>
      <c r="B540" s="1">
        <v>45890</v>
      </c>
      <c r="C540">
        <v>1033</v>
      </c>
      <c r="D540" t="s">
        <v>54</v>
      </c>
      <c r="E540" t="s">
        <v>13</v>
      </c>
      <c r="F540" t="s">
        <v>14</v>
      </c>
      <c r="G540" t="s">
        <v>40</v>
      </c>
      <c r="H540" t="s">
        <v>38</v>
      </c>
      <c r="I540">
        <v>5</v>
      </c>
      <c r="J540">
        <v>900</v>
      </c>
      <c r="K540">
        <v>5</v>
      </c>
      <c r="L540" t="s">
        <v>20</v>
      </c>
      <c r="M540">
        <f>I540*J540*(1-K540/100)</f>
        <v>4275</v>
      </c>
      <c r="N540" t="str">
        <f>TEXT(B540,"yyyy-mm")</f>
        <v>2025-08</v>
      </c>
    </row>
    <row r="541" spans="1:14" x14ac:dyDescent="0.3">
      <c r="A541">
        <v>5819</v>
      </c>
      <c r="B541" s="1">
        <v>45962</v>
      </c>
      <c r="C541">
        <v>1033</v>
      </c>
      <c r="D541" t="s">
        <v>54</v>
      </c>
      <c r="E541" t="s">
        <v>87</v>
      </c>
      <c r="F541" t="s">
        <v>14</v>
      </c>
      <c r="G541" t="s">
        <v>57</v>
      </c>
      <c r="H541" t="s">
        <v>38</v>
      </c>
      <c r="I541">
        <v>5</v>
      </c>
      <c r="J541">
        <v>16000</v>
      </c>
      <c r="K541">
        <v>0</v>
      </c>
      <c r="L541" t="s">
        <v>34</v>
      </c>
      <c r="M541">
        <f>I541*J541*(1-K541/100)</f>
        <v>80000</v>
      </c>
      <c r="N541" t="str">
        <f>TEXT(B541,"yyyy-mm")</f>
        <v>2025-11</v>
      </c>
    </row>
    <row r="542" spans="1:14" x14ac:dyDescent="0.3">
      <c r="A542">
        <v>5336</v>
      </c>
      <c r="B542" s="1">
        <v>45781</v>
      </c>
      <c r="C542">
        <v>1033</v>
      </c>
      <c r="D542" t="s">
        <v>54</v>
      </c>
      <c r="E542" t="s">
        <v>13</v>
      </c>
      <c r="F542" t="s">
        <v>14</v>
      </c>
      <c r="G542" t="s">
        <v>24</v>
      </c>
      <c r="H542" t="s">
        <v>16</v>
      </c>
      <c r="I542">
        <v>4</v>
      </c>
      <c r="J542">
        <v>22000</v>
      </c>
      <c r="K542">
        <v>0</v>
      </c>
      <c r="L542" t="s">
        <v>20</v>
      </c>
      <c r="M542">
        <f>I542*J542*(1-K542/100)</f>
        <v>88000</v>
      </c>
      <c r="N542" t="str">
        <f>TEXT(B542,"yyyy-mm")</f>
        <v>2025-05</v>
      </c>
    </row>
    <row r="543" spans="1:14" x14ac:dyDescent="0.3">
      <c r="A543">
        <v>5854</v>
      </c>
      <c r="B543" s="1">
        <v>45970</v>
      </c>
      <c r="C543">
        <v>1033</v>
      </c>
      <c r="D543" t="s">
        <v>54</v>
      </c>
      <c r="E543" t="s">
        <v>13</v>
      </c>
      <c r="F543" t="s">
        <v>14</v>
      </c>
      <c r="G543" t="s">
        <v>42</v>
      </c>
      <c r="H543" t="s">
        <v>31</v>
      </c>
      <c r="I543">
        <v>4</v>
      </c>
      <c r="J543">
        <v>200</v>
      </c>
      <c r="K543">
        <v>5</v>
      </c>
      <c r="L543" t="s">
        <v>17</v>
      </c>
      <c r="M543">
        <f>I543*J543*(1-K543/100)</f>
        <v>760</v>
      </c>
      <c r="N543" t="str">
        <f>TEXT(B543,"yyyy-mm")</f>
        <v>2025-11</v>
      </c>
    </row>
    <row r="544" spans="1:14" x14ac:dyDescent="0.3">
      <c r="A544">
        <v>5023</v>
      </c>
      <c r="B544" s="1">
        <v>45664</v>
      </c>
      <c r="C544">
        <v>1033</v>
      </c>
      <c r="D544" t="s">
        <v>54</v>
      </c>
      <c r="E544" t="s">
        <v>13</v>
      </c>
      <c r="F544" t="s">
        <v>14</v>
      </c>
      <c r="G544" t="s">
        <v>55</v>
      </c>
      <c r="H544" t="s">
        <v>16</v>
      </c>
      <c r="I544">
        <v>3</v>
      </c>
      <c r="J544">
        <v>2500</v>
      </c>
      <c r="K544">
        <v>0</v>
      </c>
      <c r="L544" t="s">
        <v>25</v>
      </c>
      <c r="M544">
        <f>I544*J544*(1-K544/100)</f>
        <v>7500</v>
      </c>
      <c r="N544" t="str">
        <f>TEXT(B544,"yyyy-mm")</f>
        <v>2025-01</v>
      </c>
    </row>
    <row r="545" spans="1:14" x14ac:dyDescent="0.3">
      <c r="A545">
        <v>5818</v>
      </c>
      <c r="B545" s="1">
        <v>45961</v>
      </c>
      <c r="C545">
        <v>1033</v>
      </c>
      <c r="D545" t="s">
        <v>54</v>
      </c>
      <c r="E545" t="s">
        <v>13</v>
      </c>
      <c r="F545" t="s">
        <v>14</v>
      </c>
      <c r="G545" t="s">
        <v>19</v>
      </c>
      <c r="H545" t="s">
        <v>16</v>
      </c>
      <c r="I545">
        <v>3</v>
      </c>
      <c r="J545">
        <v>9500</v>
      </c>
      <c r="K545">
        <v>0</v>
      </c>
      <c r="L545" t="s">
        <v>20</v>
      </c>
      <c r="M545">
        <f>I545*J545*(1-K545/100)</f>
        <v>28500</v>
      </c>
      <c r="N545" t="str">
        <f>TEXT(B545,"yyyy-mm")</f>
        <v>2025-10</v>
      </c>
    </row>
    <row r="546" spans="1:14" x14ac:dyDescent="0.3">
      <c r="A546">
        <v>5837</v>
      </c>
      <c r="B546" s="1">
        <v>45966</v>
      </c>
      <c r="C546">
        <v>1033</v>
      </c>
      <c r="D546" t="s">
        <v>54</v>
      </c>
      <c r="E546" t="s">
        <v>13</v>
      </c>
      <c r="F546" t="s">
        <v>14</v>
      </c>
      <c r="G546" t="s">
        <v>55</v>
      </c>
      <c r="H546" t="s">
        <v>16</v>
      </c>
      <c r="I546">
        <v>3</v>
      </c>
      <c r="J546">
        <v>2500</v>
      </c>
      <c r="K546">
        <v>5</v>
      </c>
      <c r="L546" t="s">
        <v>25</v>
      </c>
      <c r="M546">
        <f>I546*J546*(1-K546/100)</f>
        <v>7125</v>
      </c>
      <c r="N546" t="str">
        <f>TEXT(B546,"yyyy-mm")</f>
        <v>2025-11</v>
      </c>
    </row>
    <row r="547" spans="1:14" x14ac:dyDescent="0.3">
      <c r="A547">
        <v>5425</v>
      </c>
      <c r="B547" s="1">
        <v>45820</v>
      </c>
      <c r="C547">
        <v>1033</v>
      </c>
      <c r="D547" t="s">
        <v>54</v>
      </c>
      <c r="E547" t="s">
        <v>13</v>
      </c>
      <c r="F547" t="s">
        <v>14</v>
      </c>
      <c r="G547" t="s">
        <v>24</v>
      </c>
      <c r="H547" t="s">
        <v>16</v>
      </c>
      <c r="I547">
        <v>2</v>
      </c>
      <c r="J547">
        <v>22000</v>
      </c>
      <c r="K547">
        <v>10</v>
      </c>
      <c r="L547" t="s">
        <v>25</v>
      </c>
      <c r="M547">
        <f>I547*J547*(1-K547/100)</f>
        <v>39600</v>
      </c>
      <c r="N547" t="str">
        <f>TEXT(B547,"yyyy-mm")</f>
        <v>2025-06</v>
      </c>
    </row>
    <row r="548" spans="1:14" x14ac:dyDescent="0.3">
      <c r="A548">
        <v>5601</v>
      </c>
      <c r="B548" s="1">
        <v>45884</v>
      </c>
      <c r="C548">
        <v>1033</v>
      </c>
      <c r="D548" t="s">
        <v>54</v>
      </c>
      <c r="E548" t="s">
        <v>13</v>
      </c>
      <c r="F548" t="s">
        <v>14</v>
      </c>
      <c r="G548" t="s">
        <v>42</v>
      </c>
      <c r="H548" t="s">
        <v>31</v>
      </c>
      <c r="I548">
        <v>2</v>
      </c>
      <c r="J548">
        <v>200</v>
      </c>
      <c r="K548">
        <v>15</v>
      </c>
      <c r="L548" t="s">
        <v>43</v>
      </c>
      <c r="M548">
        <f>I548*J548*(1-K548/100)</f>
        <v>340</v>
      </c>
      <c r="N548" t="str">
        <f>TEXT(B548,"yyyy-mm")</f>
        <v>2025-08</v>
      </c>
    </row>
    <row r="549" spans="1:14" x14ac:dyDescent="0.3">
      <c r="A549">
        <v>5041</v>
      </c>
      <c r="B549" s="1">
        <v>45672</v>
      </c>
      <c r="C549">
        <v>1033</v>
      </c>
      <c r="D549" t="s">
        <v>54</v>
      </c>
      <c r="E549" t="s">
        <v>13</v>
      </c>
      <c r="F549" t="s">
        <v>14</v>
      </c>
      <c r="G549" t="s">
        <v>37</v>
      </c>
      <c r="H549" t="s">
        <v>38</v>
      </c>
      <c r="I549">
        <v>1</v>
      </c>
      <c r="J549">
        <v>7500</v>
      </c>
      <c r="K549">
        <v>15</v>
      </c>
      <c r="L549" t="s">
        <v>25</v>
      </c>
      <c r="M549">
        <f>I549*J549*(1-K549/100)</f>
        <v>6375</v>
      </c>
      <c r="N549" t="str">
        <f>TEXT(B549,"yyyy-mm")</f>
        <v>2025-01</v>
      </c>
    </row>
    <row r="550" spans="1:14" x14ac:dyDescent="0.3">
      <c r="A550">
        <v>5277</v>
      </c>
      <c r="B550" s="1">
        <v>45761</v>
      </c>
      <c r="C550">
        <v>1033</v>
      </c>
      <c r="D550" t="s">
        <v>54</v>
      </c>
      <c r="E550" t="s">
        <v>13</v>
      </c>
      <c r="F550" t="s">
        <v>14</v>
      </c>
      <c r="G550" t="s">
        <v>24</v>
      </c>
      <c r="H550" t="s">
        <v>16</v>
      </c>
      <c r="I550">
        <v>1</v>
      </c>
      <c r="J550">
        <v>22000</v>
      </c>
      <c r="K550">
        <v>5</v>
      </c>
      <c r="L550" t="s">
        <v>25</v>
      </c>
      <c r="M550">
        <f>I550*J550*(1-K550/100)</f>
        <v>20900</v>
      </c>
      <c r="N550" t="str">
        <f>TEXT(B550,"yyyy-mm")</f>
        <v>2025-04</v>
      </c>
    </row>
    <row r="551" spans="1:14" x14ac:dyDescent="0.3">
      <c r="A551">
        <v>5548</v>
      </c>
      <c r="B551" s="1">
        <v>45861</v>
      </c>
      <c r="C551">
        <v>1033</v>
      </c>
      <c r="D551" t="s">
        <v>54</v>
      </c>
      <c r="E551" t="s">
        <v>13</v>
      </c>
      <c r="F551" t="s">
        <v>14</v>
      </c>
      <c r="G551" t="s">
        <v>40</v>
      </c>
      <c r="H551" t="s">
        <v>38</v>
      </c>
      <c r="I551">
        <v>1</v>
      </c>
      <c r="J551">
        <v>900</v>
      </c>
      <c r="K551">
        <v>0</v>
      </c>
      <c r="L551" t="s">
        <v>25</v>
      </c>
      <c r="M551">
        <f>I551*J551*(1-K551/100)</f>
        <v>900</v>
      </c>
      <c r="N551" t="str">
        <f>TEXT(B551,"yyyy-mm")</f>
        <v>2025-07</v>
      </c>
    </row>
    <row r="552" spans="1:14" x14ac:dyDescent="0.3">
      <c r="A552">
        <v>5839</v>
      </c>
      <c r="B552" s="1">
        <v>45966</v>
      </c>
      <c r="C552">
        <v>1033</v>
      </c>
      <c r="D552" t="s">
        <v>54</v>
      </c>
      <c r="E552" t="s">
        <v>13</v>
      </c>
      <c r="F552" t="s">
        <v>14</v>
      </c>
      <c r="G552" t="s">
        <v>65</v>
      </c>
      <c r="H552" t="s">
        <v>16</v>
      </c>
      <c r="I552">
        <v>1</v>
      </c>
      <c r="J552">
        <v>12000</v>
      </c>
      <c r="K552">
        <v>0</v>
      </c>
      <c r="L552" t="s">
        <v>25</v>
      </c>
      <c r="M552">
        <f>I552*J552*(1-K552/100)</f>
        <v>12000</v>
      </c>
      <c r="N552" t="str">
        <f>TEXT(B552,"yyyy-mm")</f>
        <v>2025-11</v>
      </c>
    </row>
    <row r="553" spans="1:14" x14ac:dyDescent="0.3">
      <c r="A553">
        <v>5265</v>
      </c>
      <c r="B553" s="1">
        <v>45756</v>
      </c>
      <c r="C553">
        <v>1034</v>
      </c>
      <c r="D553" t="s">
        <v>70</v>
      </c>
      <c r="E553" t="s">
        <v>33</v>
      </c>
      <c r="F553" t="s">
        <v>14</v>
      </c>
      <c r="G553" t="s">
        <v>24</v>
      </c>
      <c r="H553" t="s">
        <v>16</v>
      </c>
      <c r="I553">
        <v>5</v>
      </c>
      <c r="J553">
        <v>22000</v>
      </c>
      <c r="K553">
        <v>0</v>
      </c>
      <c r="L553" t="s">
        <v>20</v>
      </c>
      <c r="M553">
        <f>I553*J553*(1-K553/100)</f>
        <v>110000</v>
      </c>
      <c r="N553" t="str">
        <f>TEXT(B553,"yyyy-mm")</f>
        <v>2025-04</v>
      </c>
    </row>
    <row r="554" spans="1:14" x14ac:dyDescent="0.3">
      <c r="A554">
        <v>5540</v>
      </c>
      <c r="B554" s="1">
        <v>45859</v>
      </c>
      <c r="C554">
        <v>1034</v>
      </c>
      <c r="D554" t="s">
        <v>70</v>
      </c>
      <c r="E554" t="s">
        <v>33</v>
      </c>
      <c r="F554" t="s">
        <v>14</v>
      </c>
      <c r="G554" t="s">
        <v>52</v>
      </c>
      <c r="H554" t="s">
        <v>16</v>
      </c>
      <c r="I554">
        <v>5</v>
      </c>
      <c r="J554">
        <v>6000</v>
      </c>
      <c r="K554">
        <v>0</v>
      </c>
      <c r="L554" t="s">
        <v>34</v>
      </c>
      <c r="M554">
        <f>I554*J554*(1-K554/100)</f>
        <v>30000</v>
      </c>
      <c r="N554" t="str">
        <f>TEXT(B554,"yyyy-mm")</f>
        <v>2025-07</v>
      </c>
    </row>
    <row r="555" spans="1:14" x14ac:dyDescent="0.3">
      <c r="A555">
        <v>5675</v>
      </c>
      <c r="B555" s="1">
        <v>45911</v>
      </c>
      <c r="C555">
        <v>1034</v>
      </c>
      <c r="D555" t="s">
        <v>70</v>
      </c>
      <c r="E555" t="s">
        <v>33</v>
      </c>
      <c r="F555" t="s">
        <v>14</v>
      </c>
      <c r="G555" t="s">
        <v>42</v>
      </c>
      <c r="H555" t="s">
        <v>31</v>
      </c>
      <c r="I555">
        <v>5</v>
      </c>
      <c r="J555">
        <v>200</v>
      </c>
      <c r="K555">
        <v>5</v>
      </c>
      <c r="L555" t="s">
        <v>43</v>
      </c>
      <c r="M555">
        <f>I555*J555*(1-K555/100)</f>
        <v>950</v>
      </c>
      <c r="N555" t="str">
        <f>TEXT(B555,"yyyy-mm")</f>
        <v>2025-09</v>
      </c>
    </row>
    <row r="556" spans="1:14" x14ac:dyDescent="0.3">
      <c r="A556">
        <v>5697</v>
      </c>
      <c r="B556" s="1">
        <v>45921</v>
      </c>
      <c r="C556">
        <v>1034</v>
      </c>
      <c r="D556" t="s">
        <v>70</v>
      </c>
      <c r="E556" t="s">
        <v>33</v>
      </c>
      <c r="F556" t="s">
        <v>14</v>
      </c>
      <c r="G556" t="s">
        <v>55</v>
      </c>
      <c r="H556" t="s">
        <v>16</v>
      </c>
      <c r="I556">
        <v>4</v>
      </c>
      <c r="J556">
        <v>2500</v>
      </c>
      <c r="K556">
        <v>10</v>
      </c>
      <c r="L556" t="s">
        <v>17</v>
      </c>
      <c r="M556">
        <f>I556*J556*(1-K556/100)</f>
        <v>9000</v>
      </c>
      <c r="N556" t="str">
        <f>TEXT(B556,"yyyy-mm")</f>
        <v>2025-09</v>
      </c>
    </row>
    <row r="557" spans="1:14" x14ac:dyDescent="0.3">
      <c r="A557">
        <v>5762</v>
      </c>
      <c r="B557" s="1">
        <v>45942</v>
      </c>
      <c r="C557">
        <v>1034</v>
      </c>
      <c r="D557" t="s">
        <v>70</v>
      </c>
      <c r="E557" t="s">
        <v>33</v>
      </c>
      <c r="F557" t="s">
        <v>14</v>
      </c>
      <c r="G557" t="s">
        <v>15</v>
      </c>
      <c r="H557" t="s">
        <v>16</v>
      </c>
      <c r="I557">
        <v>4</v>
      </c>
      <c r="J557">
        <v>18000</v>
      </c>
      <c r="K557">
        <v>0</v>
      </c>
      <c r="L557" t="s">
        <v>34</v>
      </c>
      <c r="M557">
        <f>I557*J557*(1-K557/100)</f>
        <v>72000</v>
      </c>
      <c r="N557" t="str">
        <f>TEXT(B557,"yyyy-mm")</f>
        <v>2025-10</v>
      </c>
    </row>
    <row r="558" spans="1:14" x14ac:dyDescent="0.3">
      <c r="A558">
        <v>5065</v>
      </c>
      <c r="B558" s="1">
        <v>45678</v>
      </c>
      <c r="C558">
        <v>1034</v>
      </c>
      <c r="D558" t="s">
        <v>70</v>
      </c>
      <c r="E558" t="s">
        <v>33</v>
      </c>
      <c r="F558" t="s">
        <v>14</v>
      </c>
      <c r="G558" t="s">
        <v>55</v>
      </c>
      <c r="H558" t="s">
        <v>16</v>
      </c>
      <c r="I558">
        <v>3</v>
      </c>
      <c r="J558">
        <v>2500</v>
      </c>
      <c r="K558">
        <v>10</v>
      </c>
      <c r="L558" t="s">
        <v>25</v>
      </c>
      <c r="M558">
        <f>I558*J558*(1-K558/100)</f>
        <v>6750</v>
      </c>
      <c r="N558" t="str">
        <f>TEXT(B558,"yyyy-mm")</f>
        <v>2025-01</v>
      </c>
    </row>
    <row r="559" spans="1:14" x14ac:dyDescent="0.3">
      <c r="A559">
        <v>5112</v>
      </c>
      <c r="B559" s="1">
        <v>45698</v>
      </c>
      <c r="C559">
        <v>1034</v>
      </c>
      <c r="D559" t="s">
        <v>70</v>
      </c>
      <c r="E559" t="s">
        <v>33</v>
      </c>
      <c r="F559" t="s">
        <v>14</v>
      </c>
      <c r="G559" t="s">
        <v>37</v>
      </c>
      <c r="H559" t="s">
        <v>38</v>
      </c>
      <c r="I559">
        <v>3</v>
      </c>
      <c r="J559">
        <v>7500</v>
      </c>
      <c r="K559">
        <v>15</v>
      </c>
      <c r="L559" t="s">
        <v>43</v>
      </c>
      <c r="M559">
        <f>I559*J559*(1-K559/100)</f>
        <v>19125</v>
      </c>
      <c r="N559" t="str">
        <f>TEXT(B559,"yyyy-mm")</f>
        <v>2025-02</v>
      </c>
    </row>
    <row r="560" spans="1:14" x14ac:dyDescent="0.3">
      <c r="A560">
        <v>5638</v>
      </c>
      <c r="B560" s="1">
        <v>45895</v>
      </c>
      <c r="C560">
        <v>1034</v>
      </c>
      <c r="D560" t="s">
        <v>70</v>
      </c>
      <c r="E560" t="s">
        <v>33</v>
      </c>
      <c r="F560" t="s">
        <v>14</v>
      </c>
      <c r="G560" t="s">
        <v>42</v>
      </c>
      <c r="H560" t="s">
        <v>31</v>
      </c>
      <c r="I560">
        <v>3</v>
      </c>
      <c r="J560">
        <v>200</v>
      </c>
      <c r="K560">
        <v>0</v>
      </c>
      <c r="L560" t="s">
        <v>34</v>
      </c>
      <c r="M560">
        <f>I560*J560*(1-K560/100)</f>
        <v>600</v>
      </c>
      <c r="N560" t="str">
        <f>TEXT(B560,"yyyy-mm")</f>
        <v>2025-08</v>
      </c>
    </row>
    <row r="561" spans="1:14" x14ac:dyDescent="0.3">
      <c r="A561">
        <v>5952</v>
      </c>
      <c r="B561" s="1">
        <v>46007</v>
      </c>
      <c r="C561">
        <v>1034</v>
      </c>
      <c r="D561" t="s">
        <v>70</v>
      </c>
      <c r="E561" t="s">
        <v>33</v>
      </c>
      <c r="F561" t="s">
        <v>14</v>
      </c>
      <c r="G561" t="s">
        <v>15</v>
      </c>
      <c r="H561" t="s">
        <v>16</v>
      </c>
      <c r="I561">
        <v>3</v>
      </c>
      <c r="J561">
        <v>18000</v>
      </c>
      <c r="K561">
        <v>0</v>
      </c>
      <c r="L561" t="s">
        <v>43</v>
      </c>
      <c r="M561">
        <f>I561*J561*(1-K561/100)</f>
        <v>54000</v>
      </c>
      <c r="N561" t="str">
        <f>TEXT(B561,"yyyy-mm")</f>
        <v>2025-12</v>
      </c>
    </row>
    <row r="562" spans="1:14" x14ac:dyDescent="0.3">
      <c r="A562">
        <v>5197</v>
      </c>
      <c r="B562" s="1">
        <v>45724</v>
      </c>
      <c r="C562">
        <v>1034</v>
      </c>
      <c r="D562" t="s">
        <v>70</v>
      </c>
      <c r="E562" t="s">
        <v>33</v>
      </c>
      <c r="F562" t="s">
        <v>14</v>
      </c>
      <c r="G562" t="s">
        <v>37</v>
      </c>
      <c r="H562" t="s">
        <v>38</v>
      </c>
      <c r="I562">
        <v>2</v>
      </c>
      <c r="J562">
        <v>7500</v>
      </c>
      <c r="K562">
        <v>0</v>
      </c>
      <c r="L562" t="s">
        <v>17</v>
      </c>
      <c r="M562">
        <f>I562*J562*(1-K562/100)</f>
        <v>15000</v>
      </c>
      <c r="N562" t="str">
        <f>TEXT(B562,"yyyy-mm")</f>
        <v>2025-03</v>
      </c>
    </row>
    <row r="563" spans="1:14" x14ac:dyDescent="0.3">
      <c r="A563">
        <v>5325</v>
      </c>
      <c r="B563" s="1">
        <v>45775</v>
      </c>
      <c r="C563">
        <v>1034</v>
      </c>
      <c r="D563" t="s">
        <v>70</v>
      </c>
      <c r="E563" t="s">
        <v>33</v>
      </c>
      <c r="F563" t="s">
        <v>14</v>
      </c>
      <c r="G563" t="s">
        <v>30</v>
      </c>
      <c r="H563" t="s">
        <v>31</v>
      </c>
      <c r="I563">
        <v>2</v>
      </c>
      <c r="J563">
        <v>350</v>
      </c>
      <c r="K563">
        <v>0</v>
      </c>
      <c r="L563" t="s">
        <v>25</v>
      </c>
      <c r="M563">
        <f>I563*J563*(1-K563/100)</f>
        <v>700</v>
      </c>
      <c r="N563" t="str">
        <f>TEXT(B563,"yyyy-mm")</f>
        <v>2025-04</v>
      </c>
    </row>
    <row r="564" spans="1:14" x14ac:dyDescent="0.3">
      <c r="A564">
        <v>5364</v>
      </c>
      <c r="B564" s="1">
        <v>45796</v>
      </c>
      <c r="C564">
        <v>1034</v>
      </c>
      <c r="D564" t="s">
        <v>70</v>
      </c>
      <c r="E564" t="s">
        <v>33</v>
      </c>
      <c r="F564" t="s">
        <v>14</v>
      </c>
      <c r="G564" t="s">
        <v>42</v>
      </c>
      <c r="H564" t="s">
        <v>31</v>
      </c>
      <c r="I564">
        <v>2</v>
      </c>
      <c r="J564">
        <v>200</v>
      </c>
      <c r="K564">
        <v>5</v>
      </c>
      <c r="L564" t="s">
        <v>17</v>
      </c>
      <c r="M564">
        <f>I564*J564*(1-K564/100)</f>
        <v>380</v>
      </c>
      <c r="N564" t="str">
        <f>TEXT(B564,"yyyy-mm")</f>
        <v>2025-05</v>
      </c>
    </row>
    <row r="565" spans="1:14" x14ac:dyDescent="0.3">
      <c r="A565">
        <v>5731</v>
      </c>
      <c r="B565" s="1">
        <v>45930</v>
      </c>
      <c r="C565">
        <v>1034</v>
      </c>
      <c r="D565" t="s">
        <v>70</v>
      </c>
      <c r="E565" t="s">
        <v>33</v>
      </c>
      <c r="F565" t="s">
        <v>14</v>
      </c>
      <c r="G565" t="s">
        <v>30</v>
      </c>
      <c r="H565" t="s">
        <v>31</v>
      </c>
      <c r="I565">
        <v>2</v>
      </c>
      <c r="J565">
        <v>350</v>
      </c>
      <c r="K565">
        <v>0</v>
      </c>
      <c r="L565" t="s">
        <v>20</v>
      </c>
      <c r="M565">
        <f>I565*J565*(1-K565/100)</f>
        <v>700</v>
      </c>
      <c r="N565" t="str">
        <f>TEXT(B565,"yyyy-mm")</f>
        <v>2025-09</v>
      </c>
    </row>
    <row r="566" spans="1:14" x14ac:dyDescent="0.3">
      <c r="A566">
        <v>5134</v>
      </c>
      <c r="B566" s="1">
        <v>45703</v>
      </c>
      <c r="C566">
        <v>1034</v>
      </c>
      <c r="D566" t="s">
        <v>70</v>
      </c>
      <c r="E566" t="s">
        <v>33</v>
      </c>
      <c r="F566" t="s">
        <v>14</v>
      </c>
      <c r="G566" t="s">
        <v>30</v>
      </c>
      <c r="H566" t="s">
        <v>31</v>
      </c>
      <c r="I566">
        <v>1</v>
      </c>
      <c r="J566">
        <v>350</v>
      </c>
      <c r="K566">
        <v>0</v>
      </c>
      <c r="L566" t="s">
        <v>17</v>
      </c>
      <c r="M566">
        <f>I566*J566*(1-K566/100)</f>
        <v>350</v>
      </c>
      <c r="N566" t="str">
        <f>TEXT(B566,"yyyy-mm")</f>
        <v>2025-02</v>
      </c>
    </row>
    <row r="567" spans="1:14" x14ac:dyDescent="0.3">
      <c r="A567">
        <v>5428</v>
      </c>
      <c r="B567" s="1">
        <v>45821</v>
      </c>
      <c r="C567">
        <v>1035</v>
      </c>
      <c r="D567" t="s">
        <v>64</v>
      </c>
      <c r="E567" t="s">
        <v>33</v>
      </c>
      <c r="F567" t="s">
        <v>14</v>
      </c>
      <c r="G567" t="s">
        <v>19</v>
      </c>
      <c r="H567" t="s">
        <v>16</v>
      </c>
      <c r="I567">
        <v>5</v>
      </c>
      <c r="J567">
        <v>9500</v>
      </c>
      <c r="K567">
        <v>5</v>
      </c>
      <c r="L567" t="s">
        <v>20</v>
      </c>
      <c r="M567">
        <f>I567*J567*(1-K567/100)</f>
        <v>45125</v>
      </c>
      <c r="N567" t="str">
        <f>TEXT(B567,"yyyy-mm")</f>
        <v>2025-06</v>
      </c>
    </row>
    <row r="568" spans="1:14" x14ac:dyDescent="0.3">
      <c r="A568">
        <v>5597</v>
      </c>
      <c r="B568" s="1">
        <v>45882</v>
      </c>
      <c r="C568">
        <v>1035</v>
      </c>
      <c r="D568" t="s">
        <v>64</v>
      </c>
      <c r="E568" t="s">
        <v>33</v>
      </c>
      <c r="F568" t="s">
        <v>14</v>
      </c>
      <c r="G568" t="s">
        <v>42</v>
      </c>
      <c r="H568" t="s">
        <v>31</v>
      </c>
      <c r="I568">
        <v>5</v>
      </c>
      <c r="J568">
        <v>200</v>
      </c>
      <c r="K568">
        <v>0</v>
      </c>
      <c r="L568" t="s">
        <v>25</v>
      </c>
      <c r="M568">
        <f>I568*J568*(1-K568/100)</f>
        <v>1000</v>
      </c>
      <c r="N568" t="str">
        <f>TEXT(B568,"yyyy-mm")</f>
        <v>2025-08</v>
      </c>
    </row>
    <row r="569" spans="1:14" x14ac:dyDescent="0.3">
      <c r="A569">
        <v>5155</v>
      </c>
      <c r="B569" s="1">
        <v>45710</v>
      </c>
      <c r="C569">
        <v>1035</v>
      </c>
      <c r="D569" t="s">
        <v>64</v>
      </c>
      <c r="E569" t="s">
        <v>87</v>
      </c>
      <c r="F569" t="s">
        <v>14</v>
      </c>
      <c r="G569" t="s">
        <v>40</v>
      </c>
      <c r="H569" t="s">
        <v>38</v>
      </c>
      <c r="I569">
        <v>4</v>
      </c>
      <c r="J569">
        <v>900</v>
      </c>
      <c r="K569">
        <v>0</v>
      </c>
      <c r="L569" t="s">
        <v>17</v>
      </c>
      <c r="M569">
        <f>I569*J569*(1-K569/100)</f>
        <v>3600</v>
      </c>
      <c r="N569" t="str">
        <f>TEXT(B569,"yyyy-mm")</f>
        <v>2025-02</v>
      </c>
    </row>
    <row r="570" spans="1:14" x14ac:dyDescent="0.3">
      <c r="A570">
        <v>5244</v>
      </c>
      <c r="B570" s="1">
        <v>45747</v>
      </c>
      <c r="C570">
        <v>1035</v>
      </c>
      <c r="D570" t="s">
        <v>64</v>
      </c>
      <c r="E570" t="s">
        <v>33</v>
      </c>
      <c r="F570" t="s">
        <v>14</v>
      </c>
      <c r="G570" t="s">
        <v>24</v>
      </c>
      <c r="H570" t="s">
        <v>16</v>
      </c>
      <c r="I570">
        <v>4</v>
      </c>
      <c r="J570">
        <v>22000</v>
      </c>
      <c r="K570">
        <v>0</v>
      </c>
      <c r="L570" t="s">
        <v>25</v>
      </c>
      <c r="M570">
        <f>I570*J570*(1-K570/100)</f>
        <v>88000</v>
      </c>
      <c r="N570" t="str">
        <f>TEXT(B570,"yyyy-mm")</f>
        <v>2025-03</v>
      </c>
    </row>
    <row r="571" spans="1:14" x14ac:dyDescent="0.3">
      <c r="A571">
        <v>5372</v>
      </c>
      <c r="B571" s="1">
        <v>45800</v>
      </c>
      <c r="C571">
        <v>1035</v>
      </c>
      <c r="D571" t="s">
        <v>64</v>
      </c>
      <c r="E571" t="s">
        <v>33</v>
      </c>
      <c r="F571" t="s">
        <v>14</v>
      </c>
      <c r="G571" t="s">
        <v>30</v>
      </c>
      <c r="H571" t="s">
        <v>31</v>
      </c>
      <c r="I571">
        <v>4</v>
      </c>
      <c r="J571">
        <v>350</v>
      </c>
      <c r="K571">
        <v>5</v>
      </c>
      <c r="L571" t="s">
        <v>34</v>
      </c>
      <c r="M571">
        <f>I571*J571*(1-K571/100)</f>
        <v>1330</v>
      </c>
      <c r="N571" t="str">
        <f>TEXT(B571,"yyyy-mm")</f>
        <v>2025-05</v>
      </c>
    </row>
    <row r="572" spans="1:14" x14ac:dyDescent="0.3">
      <c r="A572">
        <v>5460</v>
      </c>
      <c r="B572" s="1">
        <v>45833</v>
      </c>
      <c r="C572">
        <v>1035</v>
      </c>
      <c r="D572" t="s">
        <v>64</v>
      </c>
      <c r="E572" t="s">
        <v>33</v>
      </c>
      <c r="F572" t="s">
        <v>14</v>
      </c>
      <c r="G572" t="s">
        <v>37</v>
      </c>
      <c r="H572" t="s">
        <v>38</v>
      </c>
      <c r="I572">
        <v>4</v>
      </c>
      <c r="J572">
        <v>7500</v>
      </c>
      <c r="K572">
        <v>15</v>
      </c>
      <c r="L572" t="s">
        <v>34</v>
      </c>
      <c r="M572">
        <f>I572*J572*(1-K572/100)</f>
        <v>25500</v>
      </c>
      <c r="N572" t="str">
        <f>TEXT(B572,"yyyy-mm")</f>
        <v>2025-06</v>
      </c>
    </row>
    <row r="573" spans="1:14" x14ac:dyDescent="0.3">
      <c r="A573">
        <v>5823</v>
      </c>
      <c r="B573" s="1">
        <v>45963</v>
      </c>
      <c r="C573">
        <v>1035</v>
      </c>
      <c r="D573" t="s">
        <v>64</v>
      </c>
      <c r="E573" t="s">
        <v>33</v>
      </c>
      <c r="F573" t="s">
        <v>14</v>
      </c>
      <c r="G573" t="s">
        <v>42</v>
      </c>
      <c r="H573" t="s">
        <v>31</v>
      </c>
      <c r="I573">
        <v>4</v>
      </c>
      <c r="J573">
        <v>200</v>
      </c>
      <c r="K573">
        <v>5</v>
      </c>
      <c r="L573" t="s">
        <v>17</v>
      </c>
      <c r="M573">
        <f>I573*J573*(1-K573/100)</f>
        <v>760</v>
      </c>
      <c r="N573" t="str">
        <f>TEXT(B573,"yyyy-mm")</f>
        <v>2025-11</v>
      </c>
    </row>
    <row r="574" spans="1:14" x14ac:dyDescent="0.3">
      <c r="A574">
        <v>5459</v>
      </c>
      <c r="B574" s="1">
        <v>45832</v>
      </c>
      <c r="C574">
        <v>1035</v>
      </c>
      <c r="D574" t="s">
        <v>64</v>
      </c>
      <c r="E574" t="s">
        <v>33</v>
      </c>
      <c r="F574" t="s">
        <v>14</v>
      </c>
      <c r="G574" t="s">
        <v>37</v>
      </c>
      <c r="H574" t="s">
        <v>38</v>
      </c>
      <c r="I574">
        <v>3</v>
      </c>
      <c r="J574">
        <v>7500</v>
      </c>
      <c r="K574">
        <v>0</v>
      </c>
      <c r="L574" t="s">
        <v>25</v>
      </c>
      <c r="M574">
        <f>I574*J574*(1-K574/100)</f>
        <v>22500</v>
      </c>
      <c r="N574" t="str">
        <f>TEXT(B574,"yyyy-mm")</f>
        <v>2025-06</v>
      </c>
    </row>
    <row r="575" spans="1:14" x14ac:dyDescent="0.3">
      <c r="A575">
        <v>5899</v>
      </c>
      <c r="B575" s="1">
        <v>45992</v>
      </c>
      <c r="C575">
        <v>1035</v>
      </c>
      <c r="D575" t="s">
        <v>64</v>
      </c>
      <c r="E575" t="s">
        <v>33</v>
      </c>
      <c r="F575" t="s">
        <v>14</v>
      </c>
      <c r="G575" t="s">
        <v>15</v>
      </c>
      <c r="H575" t="s">
        <v>16</v>
      </c>
      <c r="I575">
        <v>3</v>
      </c>
      <c r="J575">
        <v>18000</v>
      </c>
      <c r="K575">
        <v>0</v>
      </c>
      <c r="L575" t="s">
        <v>34</v>
      </c>
      <c r="M575">
        <f>I575*J575*(1-K575/100)</f>
        <v>54000</v>
      </c>
      <c r="N575" t="str">
        <f>TEXT(B575,"yyyy-mm")</f>
        <v>2025-12</v>
      </c>
    </row>
    <row r="576" spans="1:14" x14ac:dyDescent="0.3">
      <c r="A576">
        <v>5947</v>
      </c>
      <c r="B576" s="1">
        <v>46005</v>
      </c>
      <c r="C576">
        <v>1035</v>
      </c>
      <c r="D576" t="s">
        <v>64</v>
      </c>
      <c r="E576" t="s">
        <v>33</v>
      </c>
      <c r="F576" t="s">
        <v>14</v>
      </c>
      <c r="G576" t="s">
        <v>36</v>
      </c>
      <c r="H576" t="s">
        <v>16</v>
      </c>
      <c r="I576">
        <v>3</v>
      </c>
      <c r="J576">
        <v>55000</v>
      </c>
      <c r="K576">
        <v>10</v>
      </c>
      <c r="L576" t="s">
        <v>34</v>
      </c>
      <c r="M576">
        <f>I576*J576*(1-K576/100)</f>
        <v>148500</v>
      </c>
      <c r="N576" t="str">
        <f>TEXT(B576,"yyyy-mm")</f>
        <v>2025-12</v>
      </c>
    </row>
    <row r="577" spans="1:14" x14ac:dyDescent="0.3">
      <c r="A577">
        <v>5044</v>
      </c>
      <c r="B577" s="1">
        <v>45673</v>
      </c>
      <c r="C577">
        <v>1035</v>
      </c>
      <c r="D577" t="s">
        <v>64</v>
      </c>
      <c r="E577" t="s">
        <v>33</v>
      </c>
      <c r="F577" t="s">
        <v>14</v>
      </c>
      <c r="G577" t="s">
        <v>65</v>
      </c>
      <c r="H577" t="s">
        <v>16</v>
      </c>
      <c r="I577">
        <v>2</v>
      </c>
      <c r="J577">
        <v>12000</v>
      </c>
      <c r="K577">
        <v>15</v>
      </c>
      <c r="L577" t="s">
        <v>17</v>
      </c>
      <c r="M577">
        <f>I577*J577*(1-K577/100)</f>
        <v>20400</v>
      </c>
      <c r="N577" t="str">
        <f>TEXT(B577,"yyyy-mm")</f>
        <v>2025-01</v>
      </c>
    </row>
    <row r="578" spans="1:14" x14ac:dyDescent="0.3">
      <c r="A578">
        <v>5327</v>
      </c>
      <c r="B578" s="1">
        <v>45777</v>
      </c>
      <c r="C578">
        <v>1035</v>
      </c>
      <c r="D578" t="s">
        <v>64</v>
      </c>
      <c r="E578" t="s">
        <v>33</v>
      </c>
      <c r="F578" t="s">
        <v>14</v>
      </c>
      <c r="G578" t="s">
        <v>37</v>
      </c>
      <c r="H578" t="s">
        <v>38</v>
      </c>
      <c r="I578">
        <v>1</v>
      </c>
      <c r="J578">
        <v>7500</v>
      </c>
      <c r="K578">
        <v>5</v>
      </c>
      <c r="L578" t="s">
        <v>20</v>
      </c>
      <c r="M578">
        <f>I578*J578*(1-K578/100)</f>
        <v>7125</v>
      </c>
      <c r="N578" t="str">
        <f>TEXT(B578,"yyyy-mm")</f>
        <v>2025-04</v>
      </c>
    </row>
    <row r="579" spans="1:14" x14ac:dyDescent="0.3">
      <c r="A579">
        <v>5331</v>
      </c>
      <c r="B579" s="1">
        <v>45779</v>
      </c>
      <c r="C579">
        <v>1035</v>
      </c>
      <c r="D579" t="s">
        <v>64</v>
      </c>
      <c r="E579" t="s">
        <v>33</v>
      </c>
      <c r="F579" t="s">
        <v>14</v>
      </c>
      <c r="G579" t="s">
        <v>37</v>
      </c>
      <c r="H579" t="s">
        <v>38</v>
      </c>
      <c r="I579">
        <v>1</v>
      </c>
      <c r="J579">
        <v>7500</v>
      </c>
      <c r="K579">
        <v>5</v>
      </c>
      <c r="L579" t="s">
        <v>20</v>
      </c>
      <c r="M579">
        <f>I579*J579*(1-K579/100)</f>
        <v>7125</v>
      </c>
      <c r="N579" t="str">
        <f>TEXT(B579,"yyyy-mm")</f>
        <v>2025-05</v>
      </c>
    </row>
    <row r="580" spans="1:14" x14ac:dyDescent="0.3">
      <c r="A580">
        <v>5737</v>
      </c>
      <c r="B580" s="1">
        <v>45932</v>
      </c>
      <c r="C580">
        <v>1036</v>
      </c>
      <c r="D580" t="s">
        <v>48</v>
      </c>
      <c r="E580" t="s">
        <v>22</v>
      </c>
      <c r="F580" t="s">
        <v>14</v>
      </c>
      <c r="G580" t="s">
        <v>24</v>
      </c>
      <c r="H580" t="s">
        <v>16</v>
      </c>
      <c r="I580">
        <v>5</v>
      </c>
      <c r="J580">
        <v>22000</v>
      </c>
      <c r="K580">
        <v>0</v>
      </c>
      <c r="L580" t="s">
        <v>25</v>
      </c>
      <c r="M580">
        <f>I580*J580*(1-K580/100)</f>
        <v>110000</v>
      </c>
      <c r="N580" t="str">
        <f>TEXT(B580,"yyyy-mm")</f>
        <v>2025-10</v>
      </c>
    </row>
    <row r="581" spans="1:14" x14ac:dyDescent="0.3">
      <c r="A581">
        <v>5123</v>
      </c>
      <c r="B581" s="1">
        <v>45701</v>
      </c>
      <c r="C581">
        <v>1036</v>
      </c>
      <c r="D581" t="s">
        <v>48</v>
      </c>
      <c r="E581" t="s">
        <v>22</v>
      </c>
      <c r="F581" t="s">
        <v>14</v>
      </c>
      <c r="G581" t="s">
        <v>52</v>
      </c>
      <c r="H581" t="s">
        <v>16</v>
      </c>
      <c r="I581">
        <v>4</v>
      </c>
      <c r="J581">
        <v>6000</v>
      </c>
      <c r="K581">
        <v>10</v>
      </c>
      <c r="L581" t="s">
        <v>43</v>
      </c>
      <c r="M581">
        <f>I581*J581*(1-K581/100)</f>
        <v>21600</v>
      </c>
      <c r="N581" t="str">
        <f>TEXT(B581,"yyyy-mm")</f>
        <v>2025-02</v>
      </c>
    </row>
    <row r="582" spans="1:14" x14ac:dyDescent="0.3">
      <c r="A582">
        <v>5246</v>
      </c>
      <c r="B582" s="1">
        <v>45747</v>
      </c>
      <c r="C582">
        <v>1036</v>
      </c>
      <c r="D582" t="s">
        <v>48</v>
      </c>
      <c r="E582" t="s">
        <v>22</v>
      </c>
      <c r="F582" t="s">
        <v>14</v>
      </c>
      <c r="G582" t="s">
        <v>15</v>
      </c>
      <c r="H582" t="s">
        <v>16</v>
      </c>
      <c r="I582">
        <v>4</v>
      </c>
      <c r="J582">
        <v>18000</v>
      </c>
      <c r="K582">
        <v>0</v>
      </c>
      <c r="L582" t="s">
        <v>17</v>
      </c>
      <c r="M582">
        <f>I582*J582*(1-K582/100)</f>
        <v>72000</v>
      </c>
      <c r="N582" t="str">
        <f>TEXT(B582,"yyyy-mm")</f>
        <v>2025-03</v>
      </c>
    </row>
    <row r="583" spans="1:14" x14ac:dyDescent="0.3">
      <c r="A583">
        <v>5558</v>
      </c>
      <c r="B583" s="1">
        <v>45866</v>
      </c>
      <c r="C583">
        <v>1036</v>
      </c>
      <c r="D583" t="s">
        <v>48</v>
      </c>
      <c r="E583" t="s">
        <v>22</v>
      </c>
      <c r="F583" t="s">
        <v>14</v>
      </c>
      <c r="G583" t="s">
        <v>37</v>
      </c>
      <c r="H583" t="s">
        <v>38</v>
      </c>
      <c r="I583">
        <v>4</v>
      </c>
      <c r="J583">
        <v>7500</v>
      </c>
      <c r="K583">
        <v>0</v>
      </c>
      <c r="L583" t="s">
        <v>43</v>
      </c>
      <c r="M583">
        <f>I583*J583*(1-K583/100)</f>
        <v>30000</v>
      </c>
      <c r="N583" t="str">
        <f>TEXT(B583,"yyyy-mm")</f>
        <v>2025-07</v>
      </c>
    </row>
    <row r="584" spans="1:14" x14ac:dyDescent="0.3">
      <c r="A584">
        <v>5018</v>
      </c>
      <c r="B584" s="1">
        <v>45663</v>
      </c>
      <c r="C584">
        <v>1036</v>
      </c>
      <c r="D584" t="s">
        <v>48</v>
      </c>
      <c r="E584" t="s">
        <v>22</v>
      </c>
      <c r="F584" t="s">
        <v>14</v>
      </c>
      <c r="G584" t="s">
        <v>30</v>
      </c>
      <c r="H584" t="s">
        <v>31</v>
      </c>
      <c r="I584">
        <v>3</v>
      </c>
      <c r="J584">
        <v>350</v>
      </c>
      <c r="K584">
        <v>0</v>
      </c>
      <c r="L584" t="s">
        <v>25</v>
      </c>
      <c r="M584">
        <f>I584*J584*(1-K584/100)</f>
        <v>1050</v>
      </c>
      <c r="N584" t="str">
        <f>TEXT(B584,"yyyy-mm")</f>
        <v>2025-01</v>
      </c>
    </row>
    <row r="585" spans="1:14" x14ac:dyDescent="0.3">
      <c r="A585">
        <v>5096</v>
      </c>
      <c r="B585" s="1">
        <v>45692</v>
      </c>
      <c r="C585">
        <v>1036</v>
      </c>
      <c r="D585" t="s">
        <v>48</v>
      </c>
      <c r="E585" t="s">
        <v>22</v>
      </c>
      <c r="F585" t="s">
        <v>14</v>
      </c>
      <c r="G585" t="s">
        <v>55</v>
      </c>
      <c r="H585" t="s">
        <v>16</v>
      </c>
      <c r="I585">
        <v>3</v>
      </c>
      <c r="J585">
        <v>2500</v>
      </c>
      <c r="K585">
        <v>10</v>
      </c>
      <c r="L585" t="s">
        <v>43</v>
      </c>
      <c r="M585">
        <f>I585*J585*(1-K585/100)</f>
        <v>6750</v>
      </c>
      <c r="N585" t="str">
        <f>TEXT(B585,"yyyy-mm")</f>
        <v>2025-02</v>
      </c>
    </row>
    <row r="586" spans="1:14" x14ac:dyDescent="0.3">
      <c r="A586">
        <v>5115</v>
      </c>
      <c r="B586" s="1">
        <v>45699</v>
      </c>
      <c r="C586">
        <v>1036</v>
      </c>
      <c r="D586" t="s">
        <v>48</v>
      </c>
      <c r="E586" t="s">
        <v>22</v>
      </c>
      <c r="F586" t="s">
        <v>14</v>
      </c>
      <c r="G586" t="s">
        <v>30</v>
      </c>
      <c r="H586" t="s">
        <v>31</v>
      </c>
      <c r="I586">
        <v>3</v>
      </c>
      <c r="J586">
        <v>350</v>
      </c>
      <c r="K586">
        <v>0</v>
      </c>
      <c r="L586" t="s">
        <v>20</v>
      </c>
      <c r="M586">
        <f>I586*J586*(1-K586/100)</f>
        <v>1050</v>
      </c>
      <c r="N586" t="str">
        <f>TEXT(B586,"yyyy-mm")</f>
        <v>2025-02</v>
      </c>
    </row>
    <row r="587" spans="1:14" x14ac:dyDescent="0.3">
      <c r="A587">
        <v>5308</v>
      </c>
      <c r="B587" s="1">
        <v>45772</v>
      </c>
      <c r="C587">
        <v>1036</v>
      </c>
      <c r="D587" t="s">
        <v>48</v>
      </c>
      <c r="E587" t="s">
        <v>22</v>
      </c>
      <c r="F587" t="s">
        <v>14</v>
      </c>
      <c r="G587" t="s">
        <v>37</v>
      </c>
      <c r="H587" t="s">
        <v>38</v>
      </c>
      <c r="I587">
        <v>3</v>
      </c>
      <c r="J587">
        <v>7500</v>
      </c>
      <c r="K587">
        <v>0</v>
      </c>
      <c r="L587" t="s">
        <v>43</v>
      </c>
      <c r="M587">
        <f>I587*J587*(1-K587/100)</f>
        <v>22500</v>
      </c>
      <c r="N587" t="str">
        <f>TEXT(B587,"yyyy-mm")</f>
        <v>2025-04</v>
      </c>
    </row>
    <row r="588" spans="1:14" x14ac:dyDescent="0.3">
      <c r="A588">
        <v>5724</v>
      </c>
      <c r="B588" s="1">
        <v>45927</v>
      </c>
      <c r="C588">
        <v>1036</v>
      </c>
      <c r="D588" t="s">
        <v>48</v>
      </c>
      <c r="E588" t="s">
        <v>22</v>
      </c>
      <c r="F588" t="s">
        <v>14</v>
      </c>
      <c r="G588" t="s">
        <v>65</v>
      </c>
      <c r="H588" t="s">
        <v>16</v>
      </c>
      <c r="I588">
        <v>3</v>
      </c>
      <c r="J588">
        <v>12000</v>
      </c>
      <c r="K588">
        <v>0</v>
      </c>
      <c r="L588" t="s">
        <v>43</v>
      </c>
      <c r="M588">
        <f>I588*J588*(1-K588/100)</f>
        <v>36000</v>
      </c>
      <c r="N588" t="str">
        <f>TEXT(B588,"yyyy-mm")</f>
        <v>2025-09</v>
      </c>
    </row>
    <row r="589" spans="1:14" x14ac:dyDescent="0.3">
      <c r="A589">
        <v>5765</v>
      </c>
      <c r="B589" s="1">
        <v>45943</v>
      </c>
      <c r="C589">
        <v>1036</v>
      </c>
      <c r="D589" t="s">
        <v>48</v>
      </c>
      <c r="E589" t="s">
        <v>22</v>
      </c>
      <c r="F589" t="s">
        <v>14</v>
      </c>
      <c r="G589" t="s">
        <v>15</v>
      </c>
      <c r="H589" t="s">
        <v>16</v>
      </c>
      <c r="I589">
        <v>3</v>
      </c>
      <c r="J589">
        <v>18000</v>
      </c>
      <c r="K589">
        <v>0</v>
      </c>
      <c r="L589" t="s">
        <v>17</v>
      </c>
      <c r="M589">
        <f>I589*J589*(1-K589/100)</f>
        <v>54000</v>
      </c>
      <c r="N589" t="str">
        <f>TEXT(B589,"yyyy-mm")</f>
        <v>2025-10</v>
      </c>
    </row>
    <row r="590" spans="1:14" x14ac:dyDescent="0.3">
      <c r="A590">
        <v>5354</v>
      </c>
      <c r="B590" s="1">
        <v>45793</v>
      </c>
      <c r="C590">
        <v>1036</v>
      </c>
      <c r="D590" t="s">
        <v>48</v>
      </c>
      <c r="E590" t="s">
        <v>22</v>
      </c>
      <c r="F590" t="s">
        <v>14</v>
      </c>
      <c r="G590" t="s">
        <v>37</v>
      </c>
      <c r="H590" t="s">
        <v>38</v>
      </c>
      <c r="I590">
        <v>2</v>
      </c>
      <c r="J590">
        <v>7500</v>
      </c>
      <c r="K590">
        <v>5</v>
      </c>
      <c r="L590" t="s">
        <v>20</v>
      </c>
      <c r="M590">
        <f>I590*J590*(1-K590/100)</f>
        <v>14250</v>
      </c>
      <c r="N590" t="str">
        <f>TEXT(B590,"yyyy-mm")</f>
        <v>2025-05</v>
      </c>
    </row>
    <row r="591" spans="1:14" x14ac:dyDescent="0.3">
      <c r="A591">
        <v>5533</v>
      </c>
      <c r="B591" s="1">
        <v>45856</v>
      </c>
      <c r="C591">
        <v>1036</v>
      </c>
      <c r="D591" t="s">
        <v>48</v>
      </c>
      <c r="E591" t="s">
        <v>22</v>
      </c>
      <c r="F591" t="s">
        <v>14</v>
      </c>
      <c r="G591" t="s">
        <v>42</v>
      </c>
      <c r="H591" t="s">
        <v>31</v>
      </c>
      <c r="I591">
        <v>2</v>
      </c>
      <c r="J591">
        <v>200</v>
      </c>
      <c r="K591">
        <v>0</v>
      </c>
      <c r="L591" t="s">
        <v>34</v>
      </c>
      <c r="M591">
        <f>I591*J591*(1-K591/100)</f>
        <v>400</v>
      </c>
      <c r="N591" t="str">
        <f>TEXT(B591,"yyyy-mm")</f>
        <v>2025-07</v>
      </c>
    </row>
    <row r="592" spans="1:14" x14ac:dyDescent="0.3">
      <c r="A592">
        <v>5890</v>
      </c>
      <c r="B592" s="1">
        <v>45988</v>
      </c>
      <c r="C592">
        <v>1036</v>
      </c>
      <c r="D592" t="s">
        <v>48</v>
      </c>
      <c r="E592" t="s">
        <v>22</v>
      </c>
      <c r="F592" t="s">
        <v>14</v>
      </c>
      <c r="G592" t="s">
        <v>40</v>
      </c>
      <c r="H592" t="s">
        <v>38</v>
      </c>
      <c r="I592">
        <v>2</v>
      </c>
      <c r="J592">
        <v>900</v>
      </c>
      <c r="K592">
        <v>0</v>
      </c>
      <c r="L592" t="s">
        <v>20</v>
      </c>
      <c r="M592">
        <f>I592*J592*(1-K592/100)</f>
        <v>1800</v>
      </c>
      <c r="N592" t="str">
        <f>TEXT(B592,"yyyy-mm")</f>
        <v>2025-11</v>
      </c>
    </row>
    <row r="593" spans="1:14" x14ac:dyDescent="0.3">
      <c r="A593">
        <v>5935</v>
      </c>
      <c r="B593" s="1">
        <v>46001</v>
      </c>
      <c r="C593">
        <v>1036</v>
      </c>
      <c r="D593" t="s">
        <v>48</v>
      </c>
      <c r="E593" t="s">
        <v>22</v>
      </c>
      <c r="F593" t="s">
        <v>14</v>
      </c>
      <c r="G593" t="s">
        <v>42</v>
      </c>
      <c r="H593" t="s">
        <v>31</v>
      </c>
      <c r="I593">
        <v>2</v>
      </c>
      <c r="J593">
        <v>200</v>
      </c>
      <c r="K593">
        <v>15</v>
      </c>
      <c r="L593" t="s">
        <v>20</v>
      </c>
      <c r="M593">
        <f>I593*J593*(1-K593/100)</f>
        <v>340</v>
      </c>
      <c r="N593" t="str">
        <f>TEXT(B593,"yyyy-mm")</f>
        <v>2025-12</v>
      </c>
    </row>
    <row r="594" spans="1:14" x14ac:dyDescent="0.3">
      <c r="A594">
        <v>5205</v>
      </c>
      <c r="B594" s="1">
        <v>45728</v>
      </c>
      <c r="C594">
        <v>1036</v>
      </c>
      <c r="D594" t="s">
        <v>48</v>
      </c>
      <c r="E594" t="s">
        <v>22</v>
      </c>
      <c r="F594" t="s">
        <v>14</v>
      </c>
      <c r="G594" t="s">
        <v>19</v>
      </c>
      <c r="H594" t="s">
        <v>16</v>
      </c>
      <c r="I594">
        <v>1</v>
      </c>
      <c r="J594">
        <v>9500</v>
      </c>
      <c r="K594">
        <v>10</v>
      </c>
      <c r="L594" t="s">
        <v>17</v>
      </c>
      <c r="M594">
        <f>I594*J594*(1-K594/100)</f>
        <v>8550</v>
      </c>
      <c r="N594" t="str">
        <f>TEXT(B594,"yyyy-mm")</f>
        <v>2025-03</v>
      </c>
    </row>
    <row r="595" spans="1:14" x14ac:dyDescent="0.3">
      <c r="A595">
        <v>5328</v>
      </c>
      <c r="B595" s="1">
        <v>45777</v>
      </c>
      <c r="C595">
        <v>1036</v>
      </c>
      <c r="D595" t="s">
        <v>48</v>
      </c>
      <c r="E595" t="s">
        <v>22</v>
      </c>
      <c r="F595" t="s">
        <v>14</v>
      </c>
      <c r="G595" t="s">
        <v>65</v>
      </c>
      <c r="H595" t="s">
        <v>16</v>
      </c>
      <c r="I595">
        <v>1</v>
      </c>
      <c r="J595">
        <v>12000</v>
      </c>
      <c r="K595">
        <v>5</v>
      </c>
      <c r="L595" t="s">
        <v>43</v>
      </c>
      <c r="M595">
        <f>I595*J595*(1-K595/100)</f>
        <v>11400</v>
      </c>
      <c r="N595" t="str">
        <f>TEXT(B595,"yyyy-mm")</f>
        <v>2025-04</v>
      </c>
    </row>
    <row r="596" spans="1:14" x14ac:dyDescent="0.3">
      <c r="A596">
        <v>5344</v>
      </c>
      <c r="B596" s="1">
        <v>45789</v>
      </c>
      <c r="C596">
        <v>1036</v>
      </c>
      <c r="D596" t="s">
        <v>48</v>
      </c>
      <c r="E596" t="s">
        <v>22</v>
      </c>
      <c r="F596" t="s">
        <v>14</v>
      </c>
      <c r="G596" t="s">
        <v>40</v>
      </c>
      <c r="H596" t="s">
        <v>38</v>
      </c>
      <c r="I596">
        <v>1</v>
      </c>
      <c r="J596">
        <v>900</v>
      </c>
      <c r="K596">
        <v>0</v>
      </c>
      <c r="L596" t="s">
        <v>17</v>
      </c>
      <c r="M596">
        <f>I596*J596*(1-K596/100)</f>
        <v>900</v>
      </c>
      <c r="N596" t="str">
        <f>TEXT(B596,"yyyy-mm")</f>
        <v>2025-05</v>
      </c>
    </row>
    <row r="597" spans="1:14" x14ac:dyDescent="0.3">
      <c r="A597">
        <v>5491</v>
      </c>
      <c r="B597" s="1">
        <v>45843</v>
      </c>
      <c r="C597">
        <v>1036</v>
      </c>
      <c r="D597" t="s">
        <v>48</v>
      </c>
      <c r="E597" t="s">
        <v>22</v>
      </c>
      <c r="F597" t="s">
        <v>14</v>
      </c>
      <c r="G597" t="s">
        <v>42</v>
      </c>
      <c r="H597" t="s">
        <v>31</v>
      </c>
      <c r="I597">
        <v>1</v>
      </c>
      <c r="J597">
        <v>200</v>
      </c>
      <c r="K597">
        <v>0</v>
      </c>
      <c r="L597" t="s">
        <v>25</v>
      </c>
      <c r="M597">
        <f>I597*J597*(1-K597/100)</f>
        <v>200</v>
      </c>
      <c r="N597" t="str">
        <f>TEXT(B597,"yyyy-mm")</f>
        <v>2025-07</v>
      </c>
    </row>
    <row r="598" spans="1:14" x14ac:dyDescent="0.3">
      <c r="A598">
        <v>5225</v>
      </c>
      <c r="B598" s="1">
        <v>45742</v>
      </c>
      <c r="C598">
        <v>1037</v>
      </c>
      <c r="D598" t="s">
        <v>28</v>
      </c>
      <c r="E598" t="s">
        <v>29</v>
      </c>
      <c r="F598" t="s">
        <v>14</v>
      </c>
      <c r="G598" t="s">
        <v>65</v>
      </c>
      <c r="H598" t="s">
        <v>16</v>
      </c>
      <c r="I598">
        <v>5</v>
      </c>
      <c r="J598">
        <v>12000</v>
      </c>
      <c r="K598">
        <v>0</v>
      </c>
      <c r="L598" t="s">
        <v>34</v>
      </c>
      <c r="M598">
        <f>I598*J598*(1-K598/100)</f>
        <v>60000</v>
      </c>
      <c r="N598" t="str">
        <f>TEXT(B598,"yyyy-mm")</f>
        <v>2025-03</v>
      </c>
    </row>
    <row r="599" spans="1:14" x14ac:dyDescent="0.3">
      <c r="A599">
        <v>5529</v>
      </c>
      <c r="B599" s="1">
        <v>45855</v>
      </c>
      <c r="C599">
        <v>1037</v>
      </c>
      <c r="D599" t="s">
        <v>28</v>
      </c>
      <c r="E599" t="s">
        <v>29</v>
      </c>
      <c r="F599" t="s">
        <v>14</v>
      </c>
      <c r="G599" t="s">
        <v>19</v>
      </c>
      <c r="H599" t="s">
        <v>16</v>
      </c>
      <c r="I599">
        <v>5</v>
      </c>
      <c r="J599">
        <v>9500</v>
      </c>
      <c r="K599">
        <v>0</v>
      </c>
      <c r="L599" t="s">
        <v>34</v>
      </c>
      <c r="M599">
        <f>I599*J599*(1-K599/100)</f>
        <v>47500</v>
      </c>
      <c r="N599" t="str">
        <f>TEXT(B599,"yyyy-mm")</f>
        <v>2025-07</v>
      </c>
    </row>
    <row r="600" spans="1:14" x14ac:dyDescent="0.3">
      <c r="A600">
        <v>5005</v>
      </c>
      <c r="B600" s="1">
        <v>45659</v>
      </c>
      <c r="C600">
        <v>1037</v>
      </c>
      <c r="D600" t="s">
        <v>28</v>
      </c>
      <c r="E600" t="s">
        <v>29</v>
      </c>
      <c r="F600" t="s">
        <v>14</v>
      </c>
      <c r="G600" t="s">
        <v>30</v>
      </c>
      <c r="H600" t="s">
        <v>31</v>
      </c>
      <c r="I600">
        <v>4</v>
      </c>
      <c r="J600">
        <v>350</v>
      </c>
      <c r="K600">
        <v>0</v>
      </c>
      <c r="L600" t="s">
        <v>25</v>
      </c>
      <c r="M600">
        <f>I600*J600*(1-K600/100)</f>
        <v>1400</v>
      </c>
      <c r="N600" t="str">
        <f>TEXT(B600,"yyyy-mm")</f>
        <v>2025-01</v>
      </c>
    </row>
    <row r="601" spans="1:14" x14ac:dyDescent="0.3">
      <c r="A601">
        <v>5268</v>
      </c>
      <c r="B601" s="1">
        <v>45756</v>
      </c>
      <c r="C601">
        <v>1037</v>
      </c>
      <c r="D601" t="s">
        <v>28</v>
      </c>
      <c r="E601" t="s">
        <v>87</v>
      </c>
      <c r="F601" t="s">
        <v>14</v>
      </c>
      <c r="G601" t="s">
        <v>30</v>
      </c>
      <c r="H601" t="s">
        <v>31</v>
      </c>
      <c r="I601">
        <v>4</v>
      </c>
      <c r="J601">
        <v>350</v>
      </c>
      <c r="K601">
        <v>10</v>
      </c>
      <c r="L601" t="s">
        <v>20</v>
      </c>
      <c r="M601">
        <f>I601*J601*(1-K601/100)</f>
        <v>1260</v>
      </c>
      <c r="N601" t="str">
        <f>TEXT(B601,"yyyy-mm")</f>
        <v>2025-04</v>
      </c>
    </row>
    <row r="602" spans="1:14" x14ac:dyDescent="0.3">
      <c r="A602">
        <v>5824</v>
      </c>
      <c r="B602" s="1">
        <v>45963</v>
      </c>
      <c r="C602">
        <v>1037</v>
      </c>
      <c r="D602" t="s">
        <v>28</v>
      </c>
      <c r="E602" t="s">
        <v>29</v>
      </c>
      <c r="F602" t="s">
        <v>14</v>
      </c>
      <c r="G602" t="s">
        <v>52</v>
      </c>
      <c r="H602" t="s">
        <v>16</v>
      </c>
      <c r="I602">
        <v>4</v>
      </c>
      <c r="J602">
        <v>6000</v>
      </c>
      <c r="K602">
        <v>0</v>
      </c>
      <c r="L602" t="s">
        <v>17</v>
      </c>
      <c r="M602">
        <f>I602*J602*(1-K602/100)</f>
        <v>24000</v>
      </c>
      <c r="N602" t="str">
        <f>TEXT(B602,"yyyy-mm")</f>
        <v>2025-11</v>
      </c>
    </row>
    <row r="603" spans="1:14" x14ac:dyDescent="0.3">
      <c r="A603">
        <v>5883</v>
      </c>
      <c r="B603" s="1">
        <v>45984</v>
      </c>
      <c r="C603">
        <v>1037</v>
      </c>
      <c r="D603" t="s">
        <v>28</v>
      </c>
      <c r="E603" t="s">
        <v>29</v>
      </c>
      <c r="F603" t="s">
        <v>14</v>
      </c>
      <c r="G603" t="s">
        <v>52</v>
      </c>
      <c r="H603" t="s">
        <v>16</v>
      </c>
      <c r="I603">
        <v>4</v>
      </c>
      <c r="J603">
        <v>6000</v>
      </c>
      <c r="K603">
        <v>0</v>
      </c>
      <c r="L603" t="s">
        <v>17</v>
      </c>
      <c r="M603">
        <f>I603*J603*(1-K603/100)</f>
        <v>24000</v>
      </c>
      <c r="N603" t="str">
        <f>TEXT(B603,"yyyy-mm")</f>
        <v>2025-11</v>
      </c>
    </row>
    <row r="604" spans="1:14" x14ac:dyDescent="0.3">
      <c r="A604">
        <v>5362</v>
      </c>
      <c r="B604" s="1">
        <v>45795</v>
      </c>
      <c r="C604">
        <v>1037</v>
      </c>
      <c r="D604" t="s">
        <v>28</v>
      </c>
      <c r="E604" t="s">
        <v>29</v>
      </c>
      <c r="F604" t="s">
        <v>14</v>
      </c>
      <c r="G604" t="s">
        <v>55</v>
      </c>
      <c r="H604" t="s">
        <v>16</v>
      </c>
      <c r="I604">
        <v>3</v>
      </c>
      <c r="J604">
        <v>2500</v>
      </c>
      <c r="K604">
        <v>10</v>
      </c>
      <c r="L604" t="s">
        <v>34</v>
      </c>
      <c r="M604">
        <f>I604*J604*(1-K604/100)</f>
        <v>6750</v>
      </c>
      <c r="N604" t="str">
        <f>TEXT(B604,"yyyy-mm")</f>
        <v>2025-05</v>
      </c>
    </row>
    <row r="605" spans="1:14" x14ac:dyDescent="0.3">
      <c r="A605">
        <v>5844</v>
      </c>
      <c r="B605" s="1">
        <v>45968</v>
      </c>
      <c r="C605">
        <v>1037</v>
      </c>
      <c r="D605" t="s">
        <v>28</v>
      </c>
      <c r="E605" t="s">
        <v>29</v>
      </c>
      <c r="F605" t="s">
        <v>14</v>
      </c>
      <c r="G605" t="s">
        <v>24</v>
      </c>
      <c r="H605" t="s">
        <v>16</v>
      </c>
      <c r="I605">
        <v>3</v>
      </c>
      <c r="J605">
        <v>22000</v>
      </c>
      <c r="K605">
        <v>5</v>
      </c>
      <c r="L605" t="s">
        <v>17</v>
      </c>
      <c r="M605">
        <f>I605*J605*(1-K605/100)</f>
        <v>62700</v>
      </c>
      <c r="N605" t="str">
        <f>TEXT(B605,"yyyy-mm")</f>
        <v>2025-11</v>
      </c>
    </row>
    <row r="606" spans="1:14" x14ac:dyDescent="0.3">
      <c r="A606">
        <v>5913</v>
      </c>
      <c r="B606" s="1">
        <v>45995</v>
      </c>
      <c r="C606">
        <v>1037</v>
      </c>
      <c r="D606" t="s">
        <v>28</v>
      </c>
      <c r="E606" t="s">
        <v>29</v>
      </c>
      <c r="F606" t="s">
        <v>14</v>
      </c>
      <c r="G606" t="s">
        <v>30</v>
      </c>
      <c r="H606" t="s">
        <v>31</v>
      </c>
      <c r="I606">
        <v>3</v>
      </c>
      <c r="J606">
        <v>350</v>
      </c>
      <c r="K606">
        <v>15</v>
      </c>
      <c r="L606" t="s">
        <v>25</v>
      </c>
      <c r="M606">
        <f>I606*J606*(1-K606/100)</f>
        <v>892.5</v>
      </c>
      <c r="N606" t="str">
        <f>TEXT(B606,"yyyy-mm")</f>
        <v>2025-12</v>
      </c>
    </row>
    <row r="607" spans="1:14" x14ac:dyDescent="0.3">
      <c r="A607">
        <v>5280</v>
      </c>
      <c r="B607" s="1">
        <v>45761</v>
      </c>
      <c r="C607">
        <v>1037</v>
      </c>
      <c r="D607" t="s">
        <v>28</v>
      </c>
      <c r="E607" t="s">
        <v>87</v>
      </c>
      <c r="F607" t="s">
        <v>14</v>
      </c>
      <c r="G607" t="s">
        <v>37</v>
      </c>
      <c r="H607" t="s">
        <v>38</v>
      </c>
      <c r="I607">
        <v>2</v>
      </c>
      <c r="J607">
        <v>7500</v>
      </c>
      <c r="K607">
        <v>5</v>
      </c>
      <c r="L607" t="s">
        <v>17</v>
      </c>
      <c r="M607">
        <f>I607*J607*(1-K607/100)</f>
        <v>14250</v>
      </c>
      <c r="N607" t="str">
        <f>TEXT(B607,"yyyy-mm")</f>
        <v>2025-04</v>
      </c>
    </row>
    <row r="608" spans="1:14" x14ac:dyDescent="0.3">
      <c r="A608">
        <v>5464</v>
      </c>
      <c r="B608" s="1">
        <v>45836</v>
      </c>
      <c r="C608">
        <v>1037</v>
      </c>
      <c r="D608" t="s">
        <v>28</v>
      </c>
      <c r="E608" t="s">
        <v>29</v>
      </c>
      <c r="F608" t="s">
        <v>14</v>
      </c>
      <c r="G608" t="s">
        <v>52</v>
      </c>
      <c r="H608" t="s">
        <v>16</v>
      </c>
      <c r="I608">
        <v>2</v>
      </c>
      <c r="J608">
        <v>6000</v>
      </c>
      <c r="K608">
        <v>5</v>
      </c>
      <c r="L608" t="s">
        <v>25</v>
      </c>
      <c r="M608">
        <f>I608*J608*(1-K608/100)</f>
        <v>11400</v>
      </c>
      <c r="N608" t="str">
        <f>TEXT(B608,"yyyy-mm")</f>
        <v>2025-06</v>
      </c>
    </row>
    <row r="609" spans="1:14" x14ac:dyDescent="0.3">
      <c r="A609">
        <v>5727</v>
      </c>
      <c r="B609" s="1">
        <v>45929</v>
      </c>
      <c r="C609">
        <v>1037</v>
      </c>
      <c r="D609" t="s">
        <v>28</v>
      </c>
      <c r="E609" t="s">
        <v>29</v>
      </c>
      <c r="F609" t="s">
        <v>14</v>
      </c>
      <c r="G609" t="s">
        <v>55</v>
      </c>
      <c r="H609" t="s">
        <v>16</v>
      </c>
      <c r="I609">
        <v>2</v>
      </c>
      <c r="J609">
        <v>2500</v>
      </c>
      <c r="K609">
        <v>0</v>
      </c>
      <c r="L609" t="s">
        <v>34</v>
      </c>
      <c r="M609">
        <f>I609*J609*(1-K609/100)</f>
        <v>5000</v>
      </c>
      <c r="N609" t="str">
        <f>TEXT(B609,"yyyy-mm")</f>
        <v>2025-09</v>
      </c>
    </row>
    <row r="610" spans="1:14" x14ac:dyDescent="0.3">
      <c r="A610">
        <v>5458</v>
      </c>
      <c r="B610" s="1">
        <v>45832</v>
      </c>
      <c r="C610">
        <v>1037</v>
      </c>
      <c r="D610" t="s">
        <v>28</v>
      </c>
      <c r="E610" t="s">
        <v>29</v>
      </c>
      <c r="F610" t="s">
        <v>14</v>
      </c>
      <c r="G610" t="s">
        <v>55</v>
      </c>
      <c r="H610" t="s">
        <v>16</v>
      </c>
      <c r="I610">
        <v>1</v>
      </c>
      <c r="J610">
        <v>2500</v>
      </c>
      <c r="K610">
        <v>5</v>
      </c>
      <c r="L610" t="s">
        <v>43</v>
      </c>
      <c r="M610">
        <f>I610*J610*(1-K610/100)</f>
        <v>2375</v>
      </c>
      <c r="N610" t="str">
        <f>TEXT(B610,"yyyy-mm")</f>
        <v>2025-06</v>
      </c>
    </row>
    <row r="611" spans="1:14" x14ac:dyDescent="0.3">
      <c r="A611">
        <v>5573</v>
      </c>
      <c r="B611" s="1">
        <v>45874</v>
      </c>
      <c r="C611">
        <v>1037</v>
      </c>
      <c r="D611" t="s">
        <v>28</v>
      </c>
      <c r="E611" t="s">
        <v>29</v>
      </c>
      <c r="F611" t="s">
        <v>14</v>
      </c>
      <c r="G611" t="s">
        <v>42</v>
      </c>
      <c r="H611" t="s">
        <v>31</v>
      </c>
      <c r="I611">
        <v>1</v>
      </c>
      <c r="J611">
        <v>200</v>
      </c>
      <c r="K611">
        <v>10</v>
      </c>
      <c r="L611" t="s">
        <v>34</v>
      </c>
      <c r="M611">
        <f>I611*J611*(1-K611/100)</f>
        <v>180</v>
      </c>
      <c r="N611" t="str">
        <f>TEXT(B611,"yyyy-mm")</f>
        <v>2025-08</v>
      </c>
    </row>
    <row r="612" spans="1:14" x14ac:dyDescent="0.3">
      <c r="A612">
        <v>5652</v>
      </c>
      <c r="B612" s="1">
        <v>45901</v>
      </c>
      <c r="C612">
        <v>1037</v>
      </c>
      <c r="D612" t="s">
        <v>28</v>
      </c>
      <c r="E612" t="s">
        <v>29</v>
      </c>
      <c r="F612" t="s">
        <v>14</v>
      </c>
      <c r="G612" t="s">
        <v>30</v>
      </c>
      <c r="H612" t="s">
        <v>31</v>
      </c>
      <c r="I612">
        <v>1</v>
      </c>
      <c r="J612">
        <v>350</v>
      </c>
      <c r="K612">
        <v>0</v>
      </c>
      <c r="L612" t="s">
        <v>20</v>
      </c>
      <c r="M612">
        <f>I612*J612*(1-K612/100)</f>
        <v>350</v>
      </c>
      <c r="N612" t="str">
        <f>TEXT(B612,"yyyy-mm")</f>
        <v>2025-09</v>
      </c>
    </row>
    <row r="613" spans="1:14" x14ac:dyDescent="0.3">
      <c r="A613">
        <v>5240</v>
      </c>
      <c r="B613" s="1">
        <v>45745</v>
      </c>
      <c r="C613">
        <v>1038</v>
      </c>
      <c r="D613" t="s">
        <v>71</v>
      </c>
      <c r="E613" t="s">
        <v>22</v>
      </c>
      <c r="F613" t="s">
        <v>14</v>
      </c>
      <c r="G613" t="s">
        <v>36</v>
      </c>
      <c r="H613" t="s">
        <v>16</v>
      </c>
      <c r="I613">
        <v>5</v>
      </c>
      <c r="J613">
        <v>55000</v>
      </c>
      <c r="K613">
        <v>0</v>
      </c>
      <c r="L613" t="s">
        <v>17</v>
      </c>
      <c r="M613">
        <f>I613*J613*(1-K613/100)</f>
        <v>275000</v>
      </c>
      <c r="N613" t="str">
        <f>TEXT(B613,"yyyy-mm")</f>
        <v>2025-03</v>
      </c>
    </row>
    <row r="614" spans="1:14" x14ac:dyDescent="0.3">
      <c r="A614">
        <v>5361</v>
      </c>
      <c r="B614" s="1">
        <v>45794</v>
      </c>
      <c r="C614">
        <v>1038</v>
      </c>
      <c r="D614" t="s">
        <v>71</v>
      </c>
      <c r="E614" t="s">
        <v>22</v>
      </c>
      <c r="F614" t="s">
        <v>14</v>
      </c>
      <c r="G614" t="s">
        <v>15</v>
      </c>
      <c r="H614" t="s">
        <v>16</v>
      </c>
      <c r="I614">
        <v>5</v>
      </c>
      <c r="J614">
        <v>18000</v>
      </c>
      <c r="K614">
        <v>0</v>
      </c>
      <c r="L614" t="s">
        <v>17</v>
      </c>
      <c r="M614">
        <f>I614*J614*(1-K614/100)</f>
        <v>90000</v>
      </c>
      <c r="N614" t="str">
        <f>TEXT(B614,"yyyy-mm")</f>
        <v>2025-05</v>
      </c>
    </row>
    <row r="615" spans="1:14" x14ac:dyDescent="0.3">
      <c r="A615">
        <v>5682</v>
      </c>
      <c r="B615" s="1">
        <v>45915</v>
      </c>
      <c r="C615">
        <v>1038</v>
      </c>
      <c r="D615" t="s">
        <v>71</v>
      </c>
      <c r="E615" t="s">
        <v>22</v>
      </c>
      <c r="F615" t="s">
        <v>14</v>
      </c>
      <c r="G615" t="s">
        <v>65</v>
      </c>
      <c r="H615" t="s">
        <v>16</v>
      </c>
      <c r="I615">
        <v>5</v>
      </c>
      <c r="J615">
        <v>12000</v>
      </c>
      <c r="K615">
        <v>0</v>
      </c>
      <c r="L615" t="s">
        <v>25</v>
      </c>
      <c r="M615">
        <f>I615*J615*(1-K615/100)</f>
        <v>60000</v>
      </c>
      <c r="N615" t="str">
        <f>TEXT(B615,"yyyy-mm")</f>
        <v>2025-09</v>
      </c>
    </row>
    <row r="616" spans="1:14" x14ac:dyDescent="0.3">
      <c r="A616">
        <v>5546</v>
      </c>
      <c r="B616" s="1">
        <v>45860</v>
      </c>
      <c r="C616">
        <v>1038</v>
      </c>
      <c r="D616" t="s">
        <v>71</v>
      </c>
      <c r="E616" t="s">
        <v>22</v>
      </c>
      <c r="F616" t="s">
        <v>14</v>
      </c>
      <c r="G616" t="s">
        <v>30</v>
      </c>
      <c r="H616" t="s">
        <v>31</v>
      </c>
      <c r="I616">
        <v>4</v>
      </c>
      <c r="J616">
        <v>350</v>
      </c>
      <c r="K616">
        <v>0</v>
      </c>
      <c r="L616" t="s">
        <v>20</v>
      </c>
      <c r="M616">
        <f>I616*J616*(1-K616/100)</f>
        <v>1400</v>
      </c>
      <c r="N616" t="str">
        <f>TEXT(B616,"yyyy-mm")</f>
        <v>2025-07</v>
      </c>
    </row>
    <row r="617" spans="1:14" x14ac:dyDescent="0.3">
      <c r="A617">
        <v>5254</v>
      </c>
      <c r="B617" s="1">
        <v>45749</v>
      </c>
      <c r="C617">
        <v>1038</v>
      </c>
      <c r="D617" t="s">
        <v>71</v>
      </c>
      <c r="E617" t="s">
        <v>22</v>
      </c>
      <c r="F617" t="s">
        <v>14</v>
      </c>
      <c r="G617" t="s">
        <v>55</v>
      </c>
      <c r="H617" t="s">
        <v>16</v>
      </c>
      <c r="I617">
        <v>3</v>
      </c>
      <c r="J617">
        <v>2500</v>
      </c>
      <c r="K617">
        <v>15</v>
      </c>
      <c r="L617" t="s">
        <v>17</v>
      </c>
      <c r="M617">
        <f>I617*J617*(1-K617/100)</f>
        <v>6375</v>
      </c>
      <c r="N617" t="str">
        <f>TEXT(B617,"yyyy-mm")</f>
        <v>2025-04</v>
      </c>
    </row>
    <row r="618" spans="1:14" x14ac:dyDescent="0.3">
      <c r="A618">
        <v>5338</v>
      </c>
      <c r="B618" s="1">
        <v>45781</v>
      </c>
      <c r="C618">
        <v>1038</v>
      </c>
      <c r="D618" t="s">
        <v>71</v>
      </c>
      <c r="E618" t="s">
        <v>22</v>
      </c>
      <c r="F618" t="s">
        <v>14</v>
      </c>
      <c r="G618" t="s">
        <v>57</v>
      </c>
      <c r="H618" t="s">
        <v>38</v>
      </c>
      <c r="I618">
        <v>3</v>
      </c>
      <c r="J618">
        <v>16000</v>
      </c>
      <c r="K618">
        <v>0</v>
      </c>
      <c r="L618" t="s">
        <v>17</v>
      </c>
      <c r="M618">
        <f>I618*J618*(1-K618/100)</f>
        <v>48000</v>
      </c>
      <c r="N618" t="str">
        <f>TEXT(B618,"yyyy-mm")</f>
        <v>2025-05</v>
      </c>
    </row>
    <row r="619" spans="1:14" x14ac:dyDescent="0.3">
      <c r="A619">
        <v>5828</v>
      </c>
      <c r="B619" s="1">
        <v>45964</v>
      </c>
      <c r="C619">
        <v>1038</v>
      </c>
      <c r="D619" t="s">
        <v>71</v>
      </c>
      <c r="E619" t="s">
        <v>22</v>
      </c>
      <c r="F619" t="s">
        <v>14</v>
      </c>
      <c r="G619" t="s">
        <v>65</v>
      </c>
      <c r="H619" t="s">
        <v>16</v>
      </c>
      <c r="I619">
        <v>3</v>
      </c>
      <c r="J619">
        <v>12000</v>
      </c>
      <c r="K619">
        <v>15</v>
      </c>
      <c r="L619" t="s">
        <v>34</v>
      </c>
      <c r="M619">
        <f>I619*J619*(1-K619/100)</f>
        <v>30600</v>
      </c>
      <c r="N619" t="str">
        <f>TEXT(B619,"yyyy-mm")</f>
        <v>2025-11</v>
      </c>
    </row>
    <row r="620" spans="1:14" x14ac:dyDescent="0.3">
      <c r="A620">
        <v>5926</v>
      </c>
      <c r="B620" s="1">
        <v>45998</v>
      </c>
      <c r="C620">
        <v>1038</v>
      </c>
      <c r="D620" t="s">
        <v>71</v>
      </c>
      <c r="E620" t="s">
        <v>22</v>
      </c>
      <c r="F620" t="s">
        <v>14</v>
      </c>
      <c r="G620" t="s">
        <v>30</v>
      </c>
      <c r="H620" t="s">
        <v>31</v>
      </c>
      <c r="I620">
        <v>3</v>
      </c>
      <c r="J620">
        <v>350</v>
      </c>
      <c r="K620">
        <v>0</v>
      </c>
      <c r="L620" t="s">
        <v>17</v>
      </c>
      <c r="M620">
        <f>I620*J620*(1-K620/100)</f>
        <v>1050</v>
      </c>
      <c r="N620" t="str">
        <f>TEXT(B620,"yyyy-mm")</f>
        <v>2025-12</v>
      </c>
    </row>
    <row r="621" spans="1:14" x14ac:dyDescent="0.3">
      <c r="A621">
        <v>5097</v>
      </c>
      <c r="B621" s="1">
        <v>45692</v>
      </c>
      <c r="C621">
        <v>1038</v>
      </c>
      <c r="D621" t="s">
        <v>71</v>
      </c>
      <c r="E621" t="s">
        <v>22</v>
      </c>
      <c r="F621" t="s">
        <v>14</v>
      </c>
      <c r="G621" t="s">
        <v>30</v>
      </c>
      <c r="H621" t="s">
        <v>31</v>
      </c>
      <c r="I621">
        <v>2</v>
      </c>
      <c r="J621">
        <v>350</v>
      </c>
      <c r="K621">
        <v>0</v>
      </c>
      <c r="L621" t="s">
        <v>34</v>
      </c>
      <c r="M621">
        <f>I621*J621*(1-K621/100)</f>
        <v>700</v>
      </c>
      <c r="N621" t="str">
        <f>TEXT(B621,"yyyy-mm")</f>
        <v>2025-02</v>
      </c>
    </row>
    <row r="622" spans="1:14" x14ac:dyDescent="0.3">
      <c r="A622">
        <v>5455</v>
      </c>
      <c r="B622" s="1">
        <v>45832</v>
      </c>
      <c r="C622">
        <v>1038</v>
      </c>
      <c r="D622" t="s">
        <v>71</v>
      </c>
      <c r="E622" t="s">
        <v>22</v>
      </c>
      <c r="F622" t="s">
        <v>14</v>
      </c>
      <c r="G622" t="s">
        <v>55</v>
      </c>
      <c r="H622" t="s">
        <v>16</v>
      </c>
      <c r="I622">
        <v>2</v>
      </c>
      <c r="J622">
        <v>2500</v>
      </c>
      <c r="K622">
        <v>5</v>
      </c>
      <c r="L622" t="s">
        <v>43</v>
      </c>
      <c r="M622">
        <f>I622*J622*(1-K622/100)</f>
        <v>4750</v>
      </c>
      <c r="N622" t="str">
        <f>TEXT(B622,"yyyy-mm")</f>
        <v>2025-06</v>
      </c>
    </row>
    <row r="623" spans="1:14" x14ac:dyDescent="0.3">
      <c r="A623">
        <v>5710</v>
      </c>
      <c r="B623" s="1">
        <v>45925</v>
      </c>
      <c r="C623">
        <v>1038</v>
      </c>
      <c r="D623" t="s">
        <v>71</v>
      </c>
      <c r="E623" t="s">
        <v>22</v>
      </c>
      <c r="F623" t="s">
        <v>14</v>
      </c>
      <c r="G623" t="s">
        <v>55</v>
      </c>
      <c r="H623" t="s">
        <v>16</v>
      </c>
      <c r="I623">
        <v>2</v>
      </c>
      <c r="J623">
        <v>2500</v>
      </c>
      <c r="K623">
        <v>5</v>
      </c>
      <c r="L623" t="s">
        <v>34</v>
      </c>
      <c r="M623">
        <f>I623*J623*(1-K623/100)</f>
        <v>4750</v>
      </c>
      <c r="N623" t="str">
        <f>TEXT(B623,"yyyy-mm")</f>
        <v>2025-09</v>
      </c>
    </row>
    <row r="624" spans="1:14" x14ac:dyDescent="0.3">
      <c r="A624">
        <v>5858</v>
      </c>
      <c r="B624" s="1">
        <v>45972</v>
      </c>
      <c r="C624">
        <v>1038</v>
      </c>
      <c r="D624" t="s">
        <v>71</v>
      </c>
      <c r="E624" t="s">
        <v>22</v>
      </c>
      <c r="F624" t="s">
        <v>14</v>
      </c>
      <c r="G624" t="s">
        <v>15</v>
      </c>
      <c r="H624" t="s">
        <v>16</v>
      </c>
      <c r="I624">
        <v>1</v>
      </c>
      <c r="J624">
        <v>18000</v>
      </c>
      <c r="K624">
        <v>10</v>
      </c>
      <c r="L624" t="s">
        <v>43</v>
      </c>
      <c r="M624">
        <f>I624*J624*(1-K624/100)</f>
        <v>16200</v>
      </c>
      <c r="N624" t="str">
        <f>TEXT(B624,"yyyy-mm")</f>
        <v>2025-11</v>
      </c>
    </row>
    <row r="625" spans="1:14" x14ac:dyDescent="0.3">
      <c r="A625">
        <v>5879</v>
      </c>
      <c r="B625" s="1">
        <v>45983</v>
      </c>
      <c r="C625">
        <v>1038</v>
      </c>
      <c r="D625" t="s">
        <v>71</v>
      </c>
      <c r="E625" t="s">
        <v>22</v>
      </c>
      <c r="F625" t="s">
        <v>14</v>
      </c>
      <c r="G625" t="s">
        <v>30</v>
      </c>
      <c r="H625" t="s">
        <v>31</v>
      </c>
      <c r="I625">
        <v>1</v>
      </c>
      <c r="J625">
        <v>350</v>
      </c>
      <c r="K625">
        <v>10</v>
      </c>
      <c r="L625" t="s">
        <v>17</v>
      </c>
      <c r="M625">
        <f>I625*J625*(1-K625/100)</f>
        <v>315</v>
      </c>
      <c r="N625" t="str">
        <f>TEXT(B625,"yyyy-mm")</f>
        <v>2025-11</v>
      </c>
    </row>
    <row r="626" spans="1:14" x14ac:dyDescent="0.3">
      <c r="A626">
        <v>5931</v>
      </c>
      <c r="B626" s="1">
        <v>45999</v>
      </c>
      <c r="C626">
        <v>1038</v>
      </c>
      <c r="D626" t="s">
        <v>71</v>
      </c>
      <c r="E626" t="s">
        <v>22</v>
      </c>
      <c r="F626" t="s">
        <v>14</v>
      </c>
      <c r="G626" t="s">
        <v>52</v>
      </c>
      <c r="H626" t="s">
        <v>16</v>
      </c>
      <c r="I626">
        <v>1</v>
      </c>
      <c r="J626">
        <v>6000</v>
      </c>
      <c r="K626">
        <v>10</v>
      </c>
      <c r="L626" t="s">
        <v>20</v>
      </c>
      <c r="M626">
        <f>I626*J626*(1-K626/100)</f>
        <v>5400</v>
      </c>
      <c r="N626" t="str">
        <f>TEXT(B626,"yyyy-mm")</f>
        <v>2025-12</v>
      </c>
    </row>
    <row r="627" spans="1:14" x14ac:dyDescent="0.3">
      <c r="A627">
        <v>5417</v>
      </c>
      <c r="B627" s="1">
        <v>45817</v>
      </c>
      <c r="C627">
        <v>1039</v>
      </c>
      <c r="D627" t="s">
        <v>62</v>
      </c>
      <c r="E627" t="s">
        <v>22</v>
      </c>
      <c r="F627" t="s">
        <v>14</v>
      </c>
      <c r="G627" t="s">
        <v>24</v>
      </c>
      <c r="H627" t="s">
        <v>16</v>
      </c>
      <c r="I627">
        <v>5</v>
      </c>
      <c r="J627">
        <v>22000</v>
      </c>
      <c r="K627">
        <v>0</v>
      </c>
      <c r="L627" t="s">
        <v>17</v>
      </c>
      <c r="M627">
        <f>I627*J627*(1-K627/100)</f>
        <v>110000</v>
      </c>
      <c r="N627" t="str">
        <f>TEXT(B627,"yyyy-mm")</f>
        <v>2025-06</v>
      </c>
    </row>
    <row r="628" spans="1:14" x14ac:dyDescent="0.3">
      <c r="A628">
        <v>5884</v>
      </c>
      <c r="B628" s="1">
        <v>45985</v>
      </c>
      <c r="C628">
        <v>1039</v>
      </c>
      <c r="D628" t="s">
        <v>62</v>
      </c>
      <c r="E628" t="s">
        <v>22</v>
      </c>
      <c r="F628" t="s">
        <v>14</v>
      </c>
      <c r="G628" t="s">
        <v>37</v>
      </c>
      <c r="H628" t="s">
        <v>38</v>
      </c>
      <c r="I628">
        <v>5</v>
      </c>
      <c r="J628">
        <v>7500</v>
      </c>
      <c r="K628">
        <v>0</v>
      </c>
      <c r="L628" t="s">
        <v>17</v>
      </c>
      <c r="M628">
        <f>I628*J628*(1-K628/100)</f>
        <v>37500</v>
      </c>
      <c r="N628" t="str">
        <f>TEXT(B628,"yyyy-mm")</f>
        <v>2025-11</v>
      </c>
    </row>
    <row r="629" spans="1:14" x14ac:dyDescent="0.3">
      <c r="A629">
        <v>5037</v>
      </c>
      <c r="B629" s="1">
        <v>45671</v>
      </c>
      <c r="C629">
        <v>1039</v>
      </c>
      <c r="D629" t="s">
        <v>62</v>
      </c>
      <c r="E629" t="s">
        <v>22</v>
      </c>
      <c r="F629" t="s">
        <v>14</v>
      </c>
      <c r="G629" t="s">
        <v>52</v>
      </c>
      <c r="H629" t="s">
        <v>16</v>
      </c>
      <c r="I629">
        <v>4</v>
      </c>
      <c r="J629">
        <v>6000</v>
      </c>
      <c r="K629">
        <v>0</v>
      </c>
      <c r="L629" t="s">
        <v>25</v>
      </c>
      <c r="M629">
        <f>I629*J629*(1-K629/100)</f>
        <v>24000</v>
      </c>
      <c r="N629" t="str">
        <f>TEXT(B629,"yyyy-mm")</f>
        <v>2025-01</v>
      </c>
    </row>
    <row r="630" spans="1:14" x14ac:dyDescent="0.3">
      <c r="A630">
        <v>5167</v>
      </c>
      <c r="B630" s="1">
        <v>45713</v>
      </c>
      <c r="C630">
        <v>1039</v>
      </c>
      <c r="D630" t="s">
        <v>62</v>
      </c>
      <c r="E630" t="s">
        <v>22</v>
      </c>
      <c r="F630" t="s">
        <v>14</v>
      </c>
      <c r="G630" t="s">
        <v>30</v>
      </c>
      <c r="H630" t="s">
        <v>31</v>
      </c>
      <c r="I630">
        <v>4</v>
      </c>
      <c r="J630">
        <v>350</v>
      </c>
      <c r="K630">
        <v>0</v>
      </c>
      <c r="L630" t="s">
        <v>17</v>
      </c>
      <c r="M630">
        <f>I630*J630*(1-K630/100)</f>
        <v>1400</v>
      </c>
      <c r="N630" t="str">
        <f>TEXT(B630,"yyyy-mm")</f>
        <v>2025-02</v>
      </c>
    </row>
    <row r="631" spans="1:14" x14ac:dyDescent="0.3">
      <c r="A631">
        <v>5715</v>
      </c>
      <c r="B631" s="1">
        <v>45926</v>
      </c>
      <c r="C631">
        <v>1039</v>
      </c>
      <c r="D631" t="s">
        <v>62</v>
      </c>
      <c r="E631" t="s">
        <v>22</v>
      </c>
      <c r="F631" t="s">
        <v>14</v>
      </c>
      <c r="G631" t="s">
        <v>30</v>
      </c>
      <c r="H631" t="s">
        <v>31</v>
      </c>
      <c r="I631">
        <v>4</v>
      </c>
      <c r="J631">
        <v>350</v>
      </c>
      <c r="K631">
        <v>0</v>
      </c>
      <c r="L631" t="s">
        <v>17</v>
      </c>
      <c r="M631">
        <f>I631*J631*(1-K631/100)</f>
        <v>1400</v>
      </c>
      <c r="N631" t="str">
        <f>TEXT(B631,"yyyy-mm")</f>
        <v>2025-09</v>
      </c>
    </row>
    <row r="632" spans="1:14" x14ac:dyDescent="0.3">
      <c r="A632">
        <v>5885</v>
      </c>
      <c r="B632" s="1">
        <v>45985</v>
      </c>
      <c r="C632">
        <v>1039</v>
      </c>
      <c r="D632" t="s">
        <v>62</v>
      </c>
      <c r="E632" t="s">
        <v>22</v>
      </c>
      <c r="F632" t="s">
        <v>14</v>
      </c>
      <c r="G632" t="s">
        <v>24</v>
      </c>
      <c r="H632" t="s">
        <v>16</v>
      </c>
      <c r="I632">
        <v>4</v>
      </c>
      <c r="J632">
        <v>22000</v>
      </c>
      <c r="K632">
        <v>5</v>
      </c>
      <c r="L632" t="s">
        <v>34</v>
      </c>
      <c r="M632">
        <f>I632*J632*(1-K632/100)</f>
        <v>83600</v>
      </c>
      <c r="N632" t="str">
        <f>TEXT(B632,"yyyy-mm")</f>
        <v>2025-11</v>
      </c>
    </row>
    <row r="633" spans="1:14" x14ac:dyDescent="0.3">
      <c r="A633">
        <v>5070</v>
      </c>
      <c r="B633" s="1">
        <v>45682</v>
      </c>
      <c r="C633">
        <v>1039</v>
      </c>
      <c r="D633" t="s">
        <v>62</v>
      </c>
      <c r="E633" t="s">
        <v>22</v>
      </c>
      <c r="F633" t="s">
        <v>14</v>
      </c>
      <c r="G633" t="s">
        <v>24</v>
      </c>
      <c r="H633" t="s">
        <v>16</v>
      </c>
      <c r="I633">
        <v>3</v>
      </c>
      <c r="J633">
        <v>22000</v>
      </c>
      <c r="K633">
        <v>5</v>
      </c>
      <c r="L633" t="s">
        <v>43</v>
      </c>
      <c r="M633">
        <f>I633*J633*(1-K633/100)</f>
        <v>62700</v>
      </c>
      <c r="N633" t="str">
        <f>TEXT(B633,"yyyy-mm")</f>
        <v>2025-01</v>
      </c>
    </row>
    <row r="634" spans="1:14" x14ac:dyDescent="0.3">
      <c r="A634">
        <v>5117</v>
      </c>
      <c r="B634" s="1">
        <v>45700</v>
      </c>
      <c r="C634">
        <v>1039</v>
      </c>
      <c r="D634" t="s">
        <v>62</v>
      </c>
      <c r="E634" t="s">
        <v>22</v>
      </c>
      <c r="F634" t="s">
        <v>14</v>
      </c>
      <c r="G634" t="s">
        <v>15</v>
      </c>
      <c r="H634" t="s">
        <v>16</v>
      </c>
      <c r="I634">
        <v>3</v>
      </c>
      <c r="J634">
        <v>18000</v>
      </c>
      <c r="K634">
        <v>0</v>
      </c>
      <c r="L634" t="s">
        <v>25</v>
      </c>
      <c r="M634">
        <f>I634*J634*(1-K634/100)</f>
        <v>54000</v>
      </c>
      <c r="N634" t="str">
        <f>TEXT(B634,"yyyy-mm")</f>
        <v>2025-02</v>
      </c>
    </row>
    <row r="635" spans="1:14" x14ac:dyDescent="0.3">
      <c r="A635">
        <v>5285</v>
      </c>
      <c r="B635" s="1">
        <v>45763</v>
      </c>
      <c r="C635">
        <v>1039</v>
      </c>
      <c r="D635" t="s">
        <v>62</v>
      </c>
      <c r="E635" t="s">
        <v>22</v>
      </c>
      <c r="F635" t="s">
        <v>14</v>
      </c>
      <c r="G635" t="s">
        <v>55</v>
      </c>
      <c r="H635" t="s">
        <v>16</v>
      </c>
      <c r="I635">
        <v>3</v>
      </c>
      <c r="J635">
        <v>2500</v>
      </c>
      <c r="K635">
        <v>5</v>
      </c>
      <c r="L635" t="s">
        <v>43</v>
      </c>
      <c r="M635">
        <f>I635*J635*(1-K635/100)</f>
        <v>7125</v>
      </c>
      <c r="N635" t="str">
        <f>TEXT(B635,"yyyy-mm")</f>
        <v>2025-04</v>
      </c>
    </row>
    <row r="636" spans="1:14" x14ac:dyDescent="0.3">
      <c r="A636">
        <v>5694</v>
      </c>
      <c r="B636" s="1">
        <v>45921</v>
      </c>
      <c r="C636">
        <v>1039</v>
      </c>
      <c r="D636" t="s">
        <v>62</v>
      </c>
      <c r="E636" t="s">
        <v>22</v>
      </c>
      <c r="F636" t="s">
        <v>14</v>
      </c>
      <c r="G636" t="s">
        <v>65</v>
      </c>
      <c r="H636" t="s">
        <v>16</v>
      </c>
      <c r="I636">
        <v>3</v>
      </c>
      <c r="J636">
        <v>12000</v>
      </c>
      <c r="K636">
        <v>0</v>
      </c>
      <c r="L636" t="s">
        <v>43</v>
      </c>
      <c r="M636">
        <f>I636*J636*(1-K636/100)</f>
        <v>36000</v>
      </c>
      <c r="N636" t="str">
        <f>TEXT(B636,"yyyy-mm")</f>
        <v>2025-09</v>
      </c>
    </row>
    <row r="637" spans="1:14" x14ac:dyDescent="0.3">
      <c r="A637">
        <v>5772</v>
      </c>
      <c r="B637" s="1">
        <v>45944</v>
      </c>
      <c r="C637">
        <v>1039</v>
      </c>
      <c r="D637" t="s">
        <v>62</v>
      </c>
      <c r="E637" t="s">
        <v>22</v>
      </c>
      <c r="F637" t="s">
        <v>14</v>
      </c>
      <c r="G637" t="s">
        <v>55</v>
      </c>
      <c r="H637" t="s">
        <v>16</v>
      </c>
      <c r="I637">
        <v>3</v>
      </c>
      <c r="J637">
        <v>2500</v>
      </c>
      <c r="K637">
        <v>0</v>
      </c>
      <c r="L637" t="s">
        <v>20</v>
      </c>
      <c r="M637">
        <f>I637*J637*(1-K637/100)</f>
        <v>7500</v>
      </c>
      <c r="N637" t="str">
        <f>TEXT(B637,"yyyy-mm")</f>
        <v>2025-10</v>
      </c>
    </row>
    <row r="638" spans="1:14" x14ac:dyDescent="0.3">
      <c r="A638">
        <v>5415</v>
      </c>
      <c r="B638" s="1">
        <v>45816</v>
      </c>
      <c r="C638">
        <v>1039</v>
      </c>
      <c r="D638" t="s">
        <v>62</v>
      </c>
      <c r="E638" t="s">
        <v>22</v>
      </c>
      <c r="F638" t="s">
        <v>14</v>
      </c>
      <c r="G638" t="s">
        <v>40</v>
      </c>
      <c r="H638" t="s">
        <v>38</v>
      </c>
      <c r="I638">
        <v>1</v>
      </c>
      <c r="J638">
        <v>900</v>
      </c>
      <c r="K638">
        <v>0</v>
      </c>
      <c r="L638" t="s">
        <v>43</v>
      </c>
      <c r="M638">
        <f>I638*J638*(1-K638/100)</f>
        <v>900</v>
      </c>
      <c r="N638" t="str">
        <f>TEXT(B638,"yyyy-mm")</f>
        <v>2025-06</v>
      </c>
    </row>
    <row r="639" spans="1:14" x14ac:dyDescent="0.3">
      <c r="A639">
        <v>5685</v>
      </c>
      <c r="B639" s="1">
        <v>45916</v>
      </c>
      <c r="C639">
        <v>1039</v>
      </c>
      <c r="D639" t="s">
        <v>62</v>
      </c>
      <c r="E639" t="s">
        <v>22</v>
      </c>
      <c r="F639" t="s">
        <v>14</v>
      </c>
      <c r="G639" t="s">
        <v>55</v>
      </c>
      <c r="H639" t="s">
        <v>16</v>
      </c>
      <c r="I639">
        <v>1</v>
      </c>
      <c r="J639">
        <v>2500</v>
      </c>
      <c r="K639">
        <v>0</v>
      </c>
      <c r="L639" t="s">
        <v>17</v>
      </c>
      <c r="M639">
        <f>I639*J639*(1-K639/100)</f>
        <v>2500</v>
      </c>
      <c r="N639" t="str">
        <f>TEXT(B639,"yyyy-mm")</f>
        <v>2025-09</v>
      </c>
    </row>
    <row r="640" spans="1:14" x14ac:dyDescent="0.3">
      <c r="A640">
        <v>5138</v>
      </c>
      <c r="B640" s="1">
        <v>45705</v>
      </c>
      <c r="C640">
        <v>1040</v>
      </c>
      <c r="D640" t="s">
        <v>78</v>
      </c>
      <c r="E640" t="s">
        <v>13</v>
      </c>
      <c r="F640" t="s">
        <v>27</v>
      </c>
      <c r="G640" t="s">
        <v>55</v>
      </c>
      <c r="H640" t="s">
        <v>16</v>
      </c>
      <c r="I640">
        <v>5</v>
      </c>
      <c r="J640">
        <v>2500</v>
      </c>
      <c r="K640">
        <v>0</v>
      </c>
      <c r="L640" t="s">
        <v>25</v>
      </c>
      <c r="M640">
        <f>I640*J640*(1-K640/100)</f>
        <v>12500</v>
      </c>
      <c r="N640" t="str">
        <f>TEXT(B640,"yyyy-mm")</f>
        <v>2025-02</v>
      </c>
    </row>
    <row r="641" spans="1:14" x14ac:dyDescent="0.3">
      <c r="A641">
        <v>5297</v>
      </c>
      <c r="B641" s="1">
        <v>45767</v>
      </c>
      <c r="C641">
        <v>1040</v>
      </c>
      <c r="D641" t="s">
        <v>78</v>
      </c>
      <c r="E641" t="s">
        <v>13</v>
      </c>
      <c r="F641" t="s">
        <v>27</v>
      </c>
      <c r="G641" t="s">
        <v>65</v>
      </c>
      <c r="H641" t="s">
        <v>16</v>
      </c>
      <c r="I641">
        <v>5</v>
      </c>
      <c r="J641">
        <v>12000</v>
      </c>
      <c r="K641">
        <v>0</v>
      </c>
      <c r="L641" t="s">
        <v>17</v>
      </c>
      <c r="M641">
        <f>I641*J641*(1-K641/100)</f>
        <v>60000</v>
      </c>
      <c r="N641" t="str">
        <f>TEXT(B641,"yyyy-mm")</f>
        <v>2025-04</v>
      </c>
    </row>
    <row r="642" spans="1:14" x14ac:dyDescent="0.3">
      <c r="A642">
        <v>5393</v>
      </c>
      <c r="B642" s="1">
        <v>45810</v>
      </c>
      <c r="C642">
        <v>1040</v>
      </c>
      <c r="D642" t="s">
        <v>78</v>
      </c>
      <c r="E642" t="s">
        <v>13</v>
      </c>
      <c r="F642" t="s">
        <v>27</v>
      </c>
      <c r="G642" t="s">
        <v>52</v>
      </c>
      <c r="H642" t="s">
        <v>16</v>
      </c>
      <c r="I642">
        <v>5</v>
      </c>
      <c r="J642">
        <v>6000</v>
      </c>
      <c r="K642">
        <v>10</v>
      </c>
      <c r="L642" t="s">
        <v>20</v>
      </c>
      <c r="M642">
        <f>I642*J642*(1-K642/100)</f>
        <v>27000</v>
      </c>
      <c r="N642" t="str">
        <f>TEXT(B642,"yyyy-mm")</f>
        <v>2025-06</v>
      </c>
    </row>
    <row r="643" spans="1:14" x14ac:dyDescent="0.3">
      <c r="A643">
        <v>5423</v>
      </c>
      <c r="B643" s="1">
        <v>45820</v>
      </c>
      <c r="C643">
        <v>1040</v>
      </c>
      <c r="D643" t="s">
        <v>78</v>
      </c>
      <c r="E643" t="s">
        <v>13</v>
      </c>
      <c r="F643" t="s">
        <v>27</v>
      </c>
      <c r="G643" t="s">
        <v>30</v>
      </c>
      <c r="H643" t="s">
        <v>31</v>
      </c>
      <c r="I643">
        <v>5</v>
      </c>
      <c r="J643">
        <v>350</v>
      </c>
      <c r="K643">
        <v>10</v>
      </c>
      <c r="L643" t="s">
        <v>25</v>
      </c>
      <c r="M643">
        <f>I643*J643*(1-K643/100)</f>
        <v>1575</v>
      </c>
      <c r="N643" t="str">
        <f>TEXT(B643,"yyyy-mm")</f>
        <v>2025-06</v>
      </c>
    </row>
    <row r="644" spans="1:14" x14ac:dyDescent="0.3">
      <c r="A644">
        <v>5659</v>
      </c>
      <c r="B644" s="1">
        <v>45904</v>
      </c>
      <c r="C644">
        <v>1040</v>
      </c>
      <c r="D644" t="s">
        <v>78</v>
      </c>
      <c r="E644" t="s">
        <v>13</v>
      </c>
      <c r="F644" t="s">
        <v>27</v>
      </c>
      <c r="G644" t="s">
        <v>37</v>
      </c>
      <c r="H644" t="s">
        <v>38</v>
      </c>
      <c r="I644">
        <v>5</v>
      </c>
      <c r="J644">
        <v>7500</v>
      </c>
      <c r="K644">
        <v>5</v>
      </c>
      <c r="L644" t="s">
        <v>25</v>
      </c>
      <c r="M644">
        <f>I644*J644*(1-K644/100)</f>
        <v>35625</v>
      </c>
      <c r="N644" t="str">
        <f>TEXT(B644,"yyyy-mm")</f>
        <v>2025-09</v>
      </c>
    </row>
    <row r="645" spans="1:14" x14ac:dyDescent="0.3">
      <c r="A645">
        <v>5681</v>
      </c>
      <c r="B645" s="1">
        <v>45915</v>
      </c>
      <c r="C645">
        <v>1040</v>
      </c>
      <c r="D645" t="s">
        <v>78</v>
      </c>
      <c r="E645" t="s">
        <v>13</v>
      </c>
      <c r="F645" t="s">
        <v>27</v>
      </c>
      <c r="G645" t="s">
        <v>57</v>
      </c>
      <c r="H645" t="s">
        <v>38</v>
      </c>
      <c r="I645">
        <v>5</v>
      </c>
      <c r="J645">
        <v>16000</v>
      </c>
      <c r="K645">
        <v>15</v>
      </c>
      <c r="L645" t="s">
        <v>25</v>
      </c>
      <c r="M645">
        <f>I645*J645*(1-K645/100)</f>
        <v>68000</v>
      </c>
      <c r="N645" t="str">
        <f>TEXT(B645,"yyyy-mm")</f>
        <v>2025-09</v>
      </c>
    </row>
    <row r="646" spans="1:14" x14ac:dyDescent="0.3">
      <c r="A646">
        <v>5750</v>
      </c>
      <c r="B646" s="1">
        <v>45939</v>
      </c>
      <c r="C646">
        <v>1040</v>
      </c>
      <c r="D646" t="s">
        <v>78</v>
      </c>
      <c r="E646" t="s">
        <v>13</v>
      </c>
      <c r="F646" t="s">
        <v>27</v>
      </c>
      <c r="G646" t="s">
        <v>24</v>
      </c>
      <c r="H646" t="s">
        <v>16</v>
      </c>
      <c r="I646">
        <v>5</v>
      </c>
      <c r="J646">
        <v>22000</v>
      </c>
      <c r="K646">
        <v>5</v>
      </c>
      <c r="L646" t="s">
        <v>17</v>
      </c>
      <c r="M646">
        <f>I646*J646*(1-K646/100)</f>
        <v>104500</v>
      </c>
      <c r="N646" t="str">
        <f>TEXT(B646,"yyyy-mm")</f>
        <v>2025-10</v>
      </c>
    </row>
    <row r="647" spans="1:14" x14ac:dyDescent="0.3">
      <c r="A647">
        <v>5942</v>
      </c>
      <c r="B647" s="1">
        <v>46004</v>
      </c>
      <c r="C647">
        <v>1040</v>
      </c>
      <c r="D647" t="s">
        <v>78</v>
      </c>
      <c r="E647" t="s">
        <v>13</v>
      </c>
      <c r="F647" t="s">
        <v>27</v>
      </c>
      <c r="G647" t="s">
        <v>19</v>
      </c>
      <c r="H647" t="s">
        <v>16</v>
      </c>
      <c r="I647">
        <v>5</v>
      </c>
      <c r="J647">
        <v>9500</v>
      </c>
      <c r="K647">
        <v>0</v>
      </c>
      <c r="L647" t="s">
        <v>25</v>
      </c>
      <c r="M647">
        <f>I647*J647*(1-K647/100)</f>
        <v>47500</v>
      </c>
      <c r="N647" t="str">
        <f>TEXT(B647,"yyyy-mm")</f>
        <v>2025-12</v>
      </c>
    </row>
    <row r="648" spans="1:14" x14ac:dyDescent="0.3">
      <c r="A648">
        <v>5587</v>
      </c>
      <c r="B648" s="1">
        <v>45879</v>
      </c>
      <c r="C648">
        <v>1040</v>
      </c>
      <c r="D648" t="s">
        <v>78</v>
      </c>
      <c r="E648" t="s">
        <v>13</v>
      </c>
      <c r="F648" t="s">
        <v>27</v>
      </c>
      <c r="G648" t="s">
        <v>65</v>
      </c>
      <c r="H648" t="s">
        <v>16</v>
      </c>
      <c r="I648">
        <v>4</v>
      </c>
      <c r="J648">
        <v>12000</v>
      </c>
      <c r="K648">
        <v>0</v>
      </c>
      <c r="L648" t="s">
        <v>20</v>
      </c>
      <c r="M648">
        <f>I648*J648*(1-K648/100)</f>
        <v>48000</v>
      </c>
      <c r="N648" t="str">
        <f>TEXT(B648,"yyyy-mm")</f>
        <v>2025-08</v>
      </c>
    </row>
    <row r="649" spans="1:14" x14ac:dyDescent="0.3">
      <c r="A649">
        <v>5723</v>
      </c>
      <c r="B649" s="1">
        <v>45927</v>
      </c>
      <c r="C649">
        <v>1040</v>
      </c>
      <c r="D649" t="s">
        <v>78</v>
      </c>
      <c r="E649" t="s">
        <v>13</v>
      </c>
      <c r="F649" t="s">
        <v>27</v>
      </c>
      <c r="G649" t="s">
        <v>65</v>
      </c>
      <c r="H649" t="s">
        <v>16</v>
      </c>
      <c r="I649">
        <v>4</v>
      </c>
      <c r="J649">
        <v>12000</v>
      </c>
      <c r="K649">
        <v>10</v>
      </c>
      <c r="L649" t="s">
        <v>25</v>
      </c>
      <c r="M649">
        <f>I649*J649*(1-K649/100)</f>
        <v>43200</v>
      </c>
      <c r="N649" t="str">
        <f>TEXT(B649,"yyyy-mm")</f>
        <v>2025-09</v>
      </c>
    </row>
    <row r="650" spans="1:14" x14ac:dyDescent="0.3">
      <c r="A650">
        <v>5722</v>
      </c>
      <c r="B650" s="1">
        <v>45927</v>
      </c>
      <c r="C650">
        <v>1040</v>
      </c>
      <c r="D650" t="s">
        <v>78</v>
      </c>
      <c r="E650" t="s">
        <v>13</v>
      </c>
      <c r="F650" t="s">
        <v>27</v>
      </c>
      <c r="G650" t="s">
        <v>37</v>
      </c>
      <c r="H650" t="s">
        <v>38</v>
      </c>
      <c r="I650">
        <v>3</v>
      </c>
      <c r="J650">
        <v>7500</v>
      </c>
      <c r="K650">
        <v>0</v>
      </c>
      <c r="L650" t="s">
        <v>20</v>
      </c>
      <c r="M650">
        <f>I650*J650*(1-K650/100)</f>
        <v>22500</v>
      </c>
      <c r="N650" t="str">
        <f>TEXT(B650,"yyyy-mm")</f>
        <v>2025-09</v>
      </c>
    </row>
    <row r="651" spans="1:14" x14ac:dyDescent="0.3">
      <c r="A651">
        <v>5098</v>
      </c>
      <c r="B651" s="1">
        <v>45694</v>
      </c>
      <c r="C651">
        <v>1040</v>
      </c>
      <c r="D651" t="s">
        <v>78</v>
      </c>
      <c r="E651" t="s">
        <v>87</v>
      </c>
      <c r="F651" t="s">
        <v>27</v>
      </c>
      <c r="G651" t="s">
        <v>55</v>
      </c>
      <c r="H651" t="s">
        <v>16</v>
      </c>
      <c r="I651">
        <v>2</v>
      </c>
      <c r="J651">
        <v>2500</v>
      </c>
      <c r="K651">
        <v>0</v>
      </c>
      <c r="L651" t="s">
        <v>43</v>
      </c>
      <c r="M651">
        <f>I651*J651*(1-K651/100)</f>
        <v>5000</v>
      </c>
      <c r="N651" t="str">
        <f>TEXT(B651,"yyyy-mm")</f>
        <v>2025-02</v>
      </c>
    </row>
    <row r="652" spans="1:14" x14ac:dyDescent="0.3">
      <c r="A652">
        <v>5512</v>
      </c>
      <c r="B652" s="1">
        <v>45850</v>
      </c>
      <c r="C652">
        <v>1040</v>
      </c>
      <c r="D652" t="s">
        <v>78</v>
      </c>
      <c r="E652" t="s">
        <v>13</v>
      </c>
      <c r="F652" t="s">
        <v>27</v>
      </c>
      <c r="G652" t="s">
        <v>30</v>
      </c>
      <c r="H652" t="s">
        <v>31</v>
      </c>
      <c r="I652">
        <v>2</v>
      </c>
      <c r="J652">
        <v>350</v>
      </c>
      <c r="K652">
        <v>15</v>
      </c>
      <c r="L652" t="s">
        <v>17</v>
      </c>
      <c r="M652">
        <f>I652*J652*(1-K652/100)</f>
        <v>595</v>
      </c>
      <c r="N652" t="str">
        <f>TEXT(B652,"yyyy-mm")</f>
        <v>2025-07</v>
      </c>
    </row>
    <row r="653" spans="1:14" x14ac:dyDescent="0.3">
      <c r="A653">
        <v>5786</v>
      </c>
      <c r="B653" s="1">
        <v>45950</v>
      </c>
      <c r="C653">
        <v>1040</v>
      </c>
      <c r="D653" t="s">
        <v>78</v>
      </c>
      <c r="E653" t="s">
        <v>13</v>
      </c>
      <c r="F653" t="s">
        <v>27</v>
      </c>
      <c r="G653" t="s">
        <v>24</v>
      </c>
      <c r="H653" t="s">
        <v>16</v>
      </c>
      <c r="I653">
        <v>2</v>
      </c>
      <c r="J653">
        <v>22000</v>
      </c>
      <c r="K653">
        <v>5</v>
      </c>
      <c r="L653" t="s">
        <v>43</v>
      </c>
      <c r="M653">
        <f>I653*J653*(1-K653/100)</f>
        <v>41800</v>
      </c>
      <c r="N653" t="str">
        <f>TEXT(B653,"yyyy-mm")</f>
        <v>2025-10</v>
      </c>
    </row>
    <row r="654" spans="1:14" x14ac:dyDescent="0.3">
      <c r="A654">
        <v>5788</v>
      </c>
      <c r="B654" s="1">
        <v>45950</v>
      </c>
      <c r="C654">
        <v>1040</v>
      </c>
      <c r="D654" t="s">
        <v>78</v>
      </c>
      <c r="E654" t="s">
        <v>13</v>
      </c>
      <c r="F654" t="s">
        <v>27</v>
      </c>
      <c r="G654" t="s">
        <v>30</v>
      </c>
      <c r="H654" t="s">
        <v>31</v>
      </c>
      <c r="I654">
        <v>2</v>
      </c>
      <c r="J654">
        <v>350</v>
      </c>
      <c r="K654">
        <v>0</v>
      </c>
      <c r="L654" t="s">
        <v>25</v>
      </c>
      <c r="M654">
        <f>I654*J654*(1-K654/100)</f>
        <v>700</v>
      </c>
      <c r="N654" t="str">
        <f>TEXT(B654,"yyyy-mm")</f>
        <v>2025-10</v>
      </c>
    </row>
    <row r="655" spans="1:14" x14ac:dyDescent="0.3">
      <c r="A655">
        <v>5895</v>
      </c>
      <c r="B655" s="1">
        <v>45990</v>
      </c>
      <c r="C655">
        <v>1040</v>
      </c>
      <c r="D655" t="s">
        <v>78</v>
      </c>
      <c r="E655" t="s">
        <v>13</v>
      </c>
      <c r="F655" t="s">
        <v>27</v>
      </c>
      <c r="G655" t="s">
        <v>65</v>
      </c>
      <c r="H655" t="s">
        <v>16</v>
      </c>
      <c r="I655">
        <v>2</v>
      </c>
      <c r="J655">
        <v>12000</v>
      </c>
      <c r="K655">
        <v>0</v>
      </c>
      <c r="L655" t="s">
        <v>43</v>
      </c>
      <c r="M655">
        <f>I655*J655*(1-K655/100)</f>
        <v>24000</v>
      </c>
      <c r="N655" t="str">
        <f>TEXT(B655,"yyyy-mm")</f>
        <v>2025-11</v>
      </c>
    </row>
    <row r="656" spans="1:14" x14ac:dyDescent="0.3">
      <c r="A656">
        <v>5958</v>
      </c>
      <c r="B656" s="1">
        <v>46008</v>
      </c>
      <c r="C656">
        <v>1040</v>
      </c>
      <c r="D656" t="s">
        <v>78</v>
      </c>
      <c r="E656" t="s">
        <v>13</v>
      </c>
      <c r="F656" t="s">
        <v>27</v>
      </c>
      <c r="G656" t="s">
        <v>65</v>
      </c>
      <c r="H656" t="s">
        <v>16</v>
      </c>
      <c r="I656">
        <v>2</v>
      </c>
      <c r="J656">
        <v>12000</v>
      </c>
      <c r="K656">
        <v>0</v>
      </c>
      <c r="L656" t="s">
        <v>17</v>
      </c>
      <c r="M656">
        <f>I656*J656*(1-K656/100)</f>
        <v>24000</v>
      </c>
      <c r="N656" t="str">
        <f>TEXT(B656,"yyyy-mm")</f>
        <v>2025-12</v>
      </c>
    </row>
    <row r="657" spans="1:14" x14ac:dyDescent="0.3">
      <c r="A657">
        <v>5348</v>
      </c>
      <c r="B657" s="1">
        <v>45791</v>
      </c>
      <c r="C657">
        <v>1040</v>
      </c>
      <c r="D657" t="s">
        <v>78</v>
      </c>
      <c r="E657" t="s">
        <v>13</v>
      </c>
      <c r="F657" t="s">
        <v>27</v>
      </c>
      <c r="G657" t="s">
        <v>30</v>
      </c>
      <c r="H657" t="s">
        <v>31</v>
      </c>
      <c r="I657">
        <v>1</v>
      </c>
      <c r="J657">
        <v>350</v>
      </c>
      <c r="K657">
        <v>0</v>
      </c>
      <c r="L657" t="s">
        <v>43</v>
      </c>
      <c r="M657">
        <f>I657*J657*(1-K657/100)</f>
        <v>350</v>
      </c>
      <c r="N657" t="str">
        <f>TEXT(B657,"yyyy-mm")</f>
        <v>2025-05</v>
      </c>
    </row>
    <row r="658" spans="1:14" x14ac:dyDescent="0.3">
      <c r="A658">
        <v>5027</v>
      </c>
      <c r="B658" s="1">
        <v>45666</v>
      </c>
      <c r="C658">
        <v>1041</v>
      </c>
      <c r="D658" t="s">
        <v>32</v>
      </c>
      <c r="E658" t="s">
        <v>13</v>
      </c>
      <c r="F658" t="s">
        <v>14</v>
      </c>
      <c r="G658" t="s">
        <v>57</v>
      </c>
      <c r="H658" t="s">
        <v>38</v>
      </c>
      <c r="I658">
        <v>5</v>
      </c>
      <c r="J658">
        <v>16000</v>
      </c>
      <c r="K658">
        <v>0</v>
      </c>
      <c r="L658" t="s">
        <v>20</v>
      </c>
      <c r="M658">
        <f>I658*J658*(1-K658/100)</f>
        <v>80000</v>
      </c>
      <c r="N658" t="str">
        <f>TEXT(B658,"yyyy-mm")</f>
        <v>2025-01</v>
      </c>
    </row>
    <row r="659" spans="1:14" x14ac:dyDescent="0.3">
      <c r="A659">
        <v>5210</v>
      </c>
      <c r="B659" s="1">
        <v>45730</v>
      </c>
      <c r="C659">
        <v>1041</v>
      </c>
      <c r="D659" t="s">
        <v>32</v>
      </c>
      <c r="E659" t="s">
        <v>13</v>
      </c>
      <c r="F659" t="s">
        <v>14</v>
      </c>
      <c r="G659" t="s">
        <v>15</v>
      </c>
      <c r="H659" t="s">
        <v>16</v>
      </c>
      <c r="I659">
        <v>5</v>
      </c>
      <c r="J659">
        <v>18000</v>
      </c>
      <c r="K659">
        <v>0</v>
      </c>
      <c r="L659" t="s">
        <v>34</v>
      </c>
      <c r="M659">
        <f>I659*J659*(1-K659/100)</f>
        <v>90000</v>
      </c>
      <c r="N659" t="str">
        <f>TEXT(B659,"yyyy-mm")</f>
        <v>2025-03</v>
      </c>
    </row>
    <row r="660" spans="1:14" x14ac:dyDescent="0.3">
      <c r="A660">
        <v>5396</v>
      </c>
      <c r="B660" s="1">
        <v>45810</v>
      </c>
      <c r="C660">
        <v>1041</v>
      </c>
      <c r="D660" t="s">
        <v>32</v>
      </c>
      <c r="E660" t="s">
        <v>13</v>
      </c>
      <c r="F660" t="s">
        <v>14</v>
      </c>
      <c r="G660" t="s">
        <v>52</v>
      </c>
      <c r="H660" t="s">
        <v>16</v>
      </c>
      <c r="I660">
        <v>5</v>
      </c>
      <c r="J660">
        <v>6000</v>
      </c>
      <c r="K660">
        <v>15</v>
      </c>
      <c r="L660" t="s">
        <v>17</v>
      </c>
      <c r="M660">
        <f>I660*J660*(1-K660/100)</f>
        <v>25500</v>
      </c>
      <c r="N660" t="str">
        <f>TEXT(B660,"yyyy-mm")</f>
        <v>2025-06</v>
      </c>
    </row>
    <row r="661" spans="1:14" x14ac:dyDescent="0.3">
      <c r="A661">
        <v>5673</v>
      </c>
      <c r="B661" s="1">
        <v>45910</v>
      </c>
      <c r="C661">
        <v>1041</v>
      </c>
      <c r="D661" t="s">
        <v>32</v>
      </c>
      <c r="E661" t="s">
        <v>13</v>
      </c>
      <c r="F661" t="s">
        <v>14</v>
      </c>
      <c r="G661" t="s">
        <v>30</v>
      </c>
      <c r="H661" t="s">
        <v>31</v>
      </c>
      <c r="I661">
        <v>5</v>
      </c>
      <c r="J661">
        <v>350</v>
      </c>
      <c r="K661">
        <v>5</v>
      </c>
      <c r="L661" t="s">
        <v>34</v>
      </c>
      <c r="M661">
        <f>I661*J661*(1-K661/100)</f>
        <v>1662.5</v>
      </c>
      <c r="N661" t="str">
        <f>TEXT(B661,"yyyy-mm")</f>
        <v>2025-09</v>
      </c>
    </row>
    <row r="662" spans="1:14" x14ac:dyDescent="0.3">
      <c r="A662">
        <v>5985</v>
      </c>
      <c r="B662" s="1">
        <v>46017</v>
      </c>
      <c r="C662">
        <v>1041</v>
      </c>
      <c r="D662" t="s">
        <v>32</v>
      </c>
      <c r="E662" t="s">
        <v>13</v>
      </c>
      <c r="F662" t="s">
        <v>14</v>
      </c>
      <c r="G662" t="s">
        <v>30</v>
      </c>
      <c r="H662" t="s">
        <v>31</v>
      </c>
      <c r="I662">
        <v>5</v>
      </c>
      <c r="J662">
        <v>350</v>
      </c>
      <c r="K662">
        <v>5</v>
      </c>
      <c r="L662" t="s">
        <v>17</v>
      </c>
      <c r="M662">
        <f>I662*J662*(1-K662/100)</f>
        <v>1662.5</v>
      </c>
      <c r="N662" t="str">
        <f>TEXT(B662,"yyyy-mm")</f>
        <v>2025-12</v>
      </c>
    </row>
    <row r="663" spans="1:14" x14ac:dyDescent="0.3">
      <c r="A663">
        <v>5006</v>
      </c>
      <c r="B663" s="1">
        <v>45659</v>
      </c>
      <c r="C663">
        <v>1041</v>
      </c>
      <c r="D663" t="s">
        <v>32</v>
      </c>
      <c r="E663" t="s">
        <v>87</v>
      </c>
      <c r="F663" t="s">
        <v>14</v>
      </c>
      <c r="G663" t="s">
        <v>24</v>
      </c>
      <c r="H663" t="s">
        <v>16</v>
      </c>
      <c r="I663">
        <v>4</v>
      </c>
      <c r="J663">
        <v>22000</v>
      </c>
      <c r="K663">
        <v>15</v>
      </c>
      <c r="L663" t="s">
        <v>20</v>
      </c>
      <c r="M663">
        <f>I663*J663*(1-K663/100)</f>
        <v>74800</v>
      </c>
      <c r="N663" t="str">
        <f>TEXT(B663,"yyyy-mm")</f>
        <v>2025-01</v>
      </c>
    </row>
    <row r="664" spans="1:14" x14ac:dyDescent="0.3">
      <c r="A664">
        <v>5313</v>
      </c>
      <c r="B664" s="1">
        <v>45773</v>
      </c>
      <c r="C664">
        <v>1041</v>
      </c>
      <c r="D664" t="s">
        <v>32</v>
      </c>
      <c r="E664" t="s">
        <v>13</v>
      </c>
      <c r="F664" t="s">
        <v>14</v>
      </c>
      <c r="G664" t="s">
        <v>15</v>
      </c>
      <c r="H664" t="s">
        <v>16</v>
      </c>
      <c r="I664">
        <v>4</v>
      </c>
      <c r="J664">
        <v>18000</v>
      </c>
      <c r="K664">
        <v>0</v>
      </c>
      <c r="L664" t="s">
        <v>34</v>
      </c>
      <c r="M664">
        <f>I664*J664*(1-K664/100)</f>
        <v>72000</v>
      </c>
      <c r="N664" t="str">
        <f>TEXT(B664,"yyyy-mm")</f>
        <v>2025-04</v>
      </c>
    </row>
    <row r="665" spans="1:14" x14ac:dyDescent="0.3">
      <c r="A665">
        <v>5812</v>
      </c>
      <c r="B665" s="1">
        <v>45959</v>
      </c>
      <c r="C665">
        <v>1041</v>
      </c>
      <c r="D665" t="s">
        <v>32</v>
      </c>
      <c r="E665" t="s">
        <v>13</v>
      </c>
      <c r="F665" t="s">
        <v>14</v>
      </c>
      <c r="G665" t="s">
        <v>37</v>
      </c>
      <c r="H665" t="s">
        <v>38</v>
      </c>
      <c r="I665">
        <v>4</v>
      </c>
      <c r="J665">
        <v>7500</v>
      </c>
      <c r="K665">
        <v>10</v>
      </c>
      <c r="L665" t="s">
        <v>25</v>
      </c>
      <c r="M665">
        <f>I665*J665*(1-K665/100)</f>
        <v>27000</v>
      </c>
      <c r="N665" t="str">
        <f>TEXT(B665,"yyyy-mm")</f>
        <v>2025-10</v>
      </c>
    </row>
    <row r="666" spans="1:14" x14ac:dyDescent="0.3">
      <c r="A666">
        <v>5124</v>
      </c>
      <c r="B666" s="1">
        <v>45701</v>
      </c>
      <c r="C666">
        <v>1041</v>
      </c>
      <c r="D666" t="s">
        <v>32</v>
      </c>
      <c r="E666" t="s">
        <v>13</v>
      </c>
      <c r="F666" t="s">
        <v>14</v>
      </c>
      <c r="G666" t="s">
        <v>30</v>
      </c>
      <c r="H666" t="s">
        <v>31</v>
      </c>
      <c r="I666">
        <v>3</v>
      </c>
      <c r="J666">
        <v>350</v>
      </c>
      <c r="K666">
        <v>0</v>
      </c>
      <c r="L666" t="s">
        <v>17</v>
      </c>
      <c r="M666">
        <f>I666*J666*(1-K666/100)</f>
        <v>1050</v>
      </c>
      <c r="N666" t="str">
        <f>TEXT(B666,"yyyy-mm")</f>
        <v>2025-02</v>
      </c>
    </row>
    <row r="667" spans="1:14" x14ac:dyDescent="0.3">
      <c r="A667">
        <v>5403</v>
      </c>
      <c r="B667" s="1">
        <v>45812</v>
      </c>
      <c r="C667">
        <v>1041</v>
      </c>
      <c r="D667" t="s">
        <v>32</v>
      </c>
      <c r="E667" t="s">
        <v>87</v>
      </c>
      <c r="F667" t="s">
        <v>14</v>
      </c>
      <c r="G667" t="s">
        <v>55</v>
      </c>
      <c r="H667" t="s">
        <v>16</v>
      </c>
      <c r="I667">
        <v>3</v>
      </c>
      <c r="J667">
        <v>2500</v>
      </c>
      <c r="K667">
        <v>5</v>
      </c>
      <c r="L667" t="s">
        <v>34</v>
      </c>
      <c r="M667">
        <f>I667*J667*(1-K667/100)</f>
        <v>7125</v>
      </c>
      <c r="N667" t="str">
        <f>TEXT(B667,"yyyy-mm")</f>
        <v>2025-06</v>
      </c>
    </row>
    <row r="668" spans="1:14" x14ac:dyDescent="0.3">
      <c r="A668">
        <v>5513</v>
      </c>
      <c r="B668" s="1">
        <v>45851</v>
      </c>
      <c r="C668">
        <v>1041</v>
      </c>
      <c r="D668" t="s">
        <v>32</v>
      </c>
      <c r="E668" t="s">
        <v>13</v>
      </c>
      <c r="F668" t="s">
        <v>14</v>
      </c>
      <c r="G668" t="s">
        <v>40</v>
      </c>
      <c r="H668" t="s">
        <v>38</v>
      </c>
      <c r="I668">
        <v>3</v>
      </c>
      <c r="J668">
        <v>900</v>
      </c>
      <c r="K668">
        <v>0</v>
      </c>
      <c r="L668" t="s">
        <v>43</v>
      </c>
      <c r="M668">
        <f>I668*J668*(1-K668/100)</f>
        <v>2700</v>
      </c>
      <c r="N668" t="str">
        <f>TEXT(B668,"yyyy-mm")</f>
        <v>2025-07</v>
      </c>
    </row>
    <row r="669" spans="1:14" x14ac:dyDescent="0.3">
      <c r="A669">
        <v>5784</v>
      </c>
      <c r="B669" s="1">
        <v>45950</v>
      </c>
      <c r="C669">
        <v>1041</v>
      </c>
      <c r="D669" t="s">
        <v>32</v>
      </c>
      <c r="E669" t="s">
        <v>13</v>
      </c>
      <c r="F669" t="s">
        <v>14</v>
      </c>
      <c r="G669" t="s">
        <v>40</v>
      </c>
      <c r="H669" t="s">
        <v>38</v>
      </c>
      <c r="I669">
        <v>3</v>
      </c>
      <c r="J669">
        <v>900</v>
      </c>
      <c r="K669">
        <v>0</v>
      </c>
      <c r="L669" t="s">
        <v>17</v>
      </c>
      <c r="M669">
        <f>I669*J669*(1-K669/100)</f>
        <v>2700</v>
      </c>
      <c r="N669" t="str">
        <f>TEXT(B669,"yyyy-mm")</f>
        <v>2025-10</v>
      </c>
    </row>
    <row r="670" spans="1:14" x14ac:dyDescent="0.3">
      <c r="A670">
        <v>5127</v>
      </c>
      <c r="B670" s="1">
        <v>45701</v>
      </c>
      <c r="C670">
        <v>1041</v>
      </c>
      <c r="D670" t="s">
        <v>32</v>
      </c>
      <c r="E670" t="s">
        <v>13</v>
      </c>
      <c r="F670" t="s">
        <v>14</v>
      </c>
      <c r="G670" t="s">
        <v>55</v>
      </c>
      <c r="H670" t="s">
        <v>16</v>
      </c>
      <c r="I670">
        <v>2</v>
      </c>
      <c r="J670">
        <v>2500</v>
      </c>
      <c r="K670">
        <v>5</v>
      </c>
      <c r="L670" t="s">
        <v>34</v>
      </c>
      <c r="M670">
        <f>I670*J670*(1-K670/100)</f>
        <v>4750</v>
      </c>
      <c r="N670" t="str">
        <f>TEXT(B670,"yyyy-mm")</f>
        <v>2025-02</v>
      </c>
    </row>
    <row r="671" spans="1:14" x14ac:dyDescent="0.3">
      <c r="A671">
        <v>5029</v>
      </c>
      <c r="B671" s="1">
        <v>45667</v>
      </c>
      <c r="C671">
        <v>1041</v>
      </c>
      <c r="D671" t="s">
        <v>32</v>
      </c>
      <c r="E671" t="s">
        <v>13</v>
      </c>
      <c r="F671" t="s">
        <v>14</v>
      </c>
      <c r="G671" t="s">
        <v>55</v>
      </c>
      <c r="H671" t="s">
        <v>16</v>
      </c>
      <c r="I671">
        <v>1</v>
      </c>
      <c r="J671">
        <v>2500</v>
      </c>
      <c r="K671">
        <v>5</v>
      </c>
      <c r="L671" t="s">
        <v>20</v>
      </c>
      <c r="M671">
        <f>I671*J671*(1-K671/100)</f>
        <v>2375</v>
      </c>
      <c r="N671" t="str">
        <f>TEXT(B671,"yyyy-mm")</f>
        <v>2025-01</v>
      </c>
    </row>
    <row r="672" spans="1:14" x14ac:dyDescent="0.3">
      <c r="A672">
        <v>5368</v>
      </c>
      <c r="B672" s="1">
        <v>45798</v>
      </c>
      <c r="C672">
        <v>1041</v>
      </c>
      <c r="D672" t="s">
        <v>32</v>
      </c>
      <c r="E672" t="s">
        <v>13</v>
      </c>
      <c r="F672" t="s">
        <v>14</v>
      </c>
      <c r="G672" t="s">
        <v>65</v>
      </c>
      <c r="H672" t="s">
        <v>16</v>
      </c>
      <c r="I672">
        <v>1</v>
      </c>
      <c r="J672">
        <v>12000</v>
      </c>
      <c r="K672">
        <v>0</v>
      </c>
      <c r="L672" t="s">
        <v>34</v>
      </c>
      <c r="M672">
        <f>I672*J672*(1-K672/100)</f>
        <v>12000</v>
      </c>
      <c r="N672" t="str">
        <f>TEXT(B672,"yyyy-mm")</f>
        <v>2025-05</v>
      </c>
    </row>
    <row r="673" spans="1:14" x14ac:dyDescent="0.3">
      <c r="A673">
        <v>5734</v>
      </c>
      <c r="B673" s="1">
        <v>45931</v>
      </c>
      <c r="C673">
        <v>1041</v>
      </c>
      <c r="D673" t="s">
        <v>32</v>
      </c>
      <c r="E673" t="s">
        <v>13</v>
      </c>
      <c r="F673" t="s">
        <v>14</v>
      </c>
      <c r="G673" t="s">
        <v>42</v>
      </c>
      <c r="H673" t="s">
        <v>31</v>
      </c>
      <c r="I673">
        <v>1</v>
      </c>
      <c r="J673">
        <v>200</v>
      </c>
      <c r="K673">
        <v>5</v>
      </c>
      <c r="L673" t="s">
        <v>20</v>
      </c>
      <c r="M673">
        <f>I673*J673*(1-K673/100)</f>
        <v>190</v>
      </c>
      <c r="N673" t="str">
        <f>TEXT(B673,"yyyy-mm")</f>
        <v>2025-10</v>
      </c>
    </row>
    <row r="674" spans="1:14" x14ac:dyDescent="0.3">
      <c r="A674">
        <v>5980</v>
      </c>
      <c r="B674" s="1">
        <v>46015</v>
      </c>
      <c r="C674">
        <v>1041</v>
      </c>
      <c r="D674" t="s">
        <v>32</v>
      </c>
      <c r="E674" t="s">
        <v>13</v>
      </c>
      <c r="F674" t="s">
        <v>14</v>
      </c>
      <c r="G674" t="s">
        <v>36</v>
      </c>
      <c r="H674" t="s">
        <v>16</v>
      </c>
      <c r="I674">
        <v>1</v>
      </c>
      <c r="J674">
        <v>55000</v>
      </c>
      <c r="K674">
        <v>0</v>
      </c>
      <c r="L674" t="s">
        <v>17</v>
      </c>
      <c r="M674">
        <f>I674*J674*(1-K674/100)</f>
        <v>55000</v>
      </c>
      <c r="N674" t="str">
        <f>TEXT(B674,"yyyy-mm")</f>
        <v>2025-12</v>
      </c>
    </row>
    <row r="675" spans="1:14" x14ac:dyDescent="0.3">
      <c r="A675">
        <v>5172</v>
      </c>
      <c r="B675" s="1">
        <v>45714</v>
      </c>
      <c r="C675">
        <v>1042</v>
      </c>
      <c r="D675" t="s">
        <v>21</v>
      </c>
      <c r="E675" t="s">
        <v>22</v>
      </c>
      <c r="F675" t="s">
        <v>23</v>
      </c>
      <c r="G675" t="s">
        <v>57</v>
      </c>
      <c r="H675" t="s">
        <v>38</v>
      </c>
      <c r="I675">
        <v>5</v>
      </c>
      <c r="J675">
        <v>16000</v>
      </c>
      <c r="K675">
        <v>0</v>
      </c>
      <c r="L675" t="s">
        <v>25</v>
      </c>
      <c r="M675">
        <f>I675*J675*(1-K675/100)</f>
        <v>80000</v>
      </c>
      <c r="N675" t="str">
        <f>TEXT(B675,"yyyy-mm")</f>
        <v>2025-02</v>
      </c>
    </row>
    <row r="676" spans="1:14" x14ac:dyDescent="0.3">
      <c r="A676">
        <v>5881</v>
      </c>
      <c r="B676" s="1">
        <v>45983</v>
      </c>
      <c r="C676">
        <v>1042</v>
      </c>
      <c r="D676" t="s">
        <v>21</v>
      </c>
      <c r="E676" t="s">
        <v>87</v>
      </c>
      <c r="F676" t="s">
        <v>23</v>
      </c>
      <c r="G676" t="s">
        <v>36</v>
      </c>
      <c r="H676" t="s">
        <v>16</v>
      </c>
      <c r="I676">
        <v>5</v>
      </c>
      <c r="J676">
        <v>55000</v>
      </c>
      <c r="K676">
        <v>0</v>
      </c>
      <c r="L676" t="s">
        <v>34</v>
      </c>
      <c r="M676">
        <f>I676*J676*(1-K676/100)</f>
        <v>275000</v>
      </c>
      <c r="N676" t="str">
        <f>TEXT(B676,"yyyy-mm")</f>
        <v>2025-11</v>
      </c>
    </row>
    <row r="677" spans="1:14" x14ac:dyDescent="0.3">
      <c r="A677">
        <v>5433</v>
      </c>
      <c r="B677" s="1">
        <v>45823</v>
      </c>
      <c r="C677">
        <v>1042</v>
      </c>
      <c r="D677" t="s">
        <v>21</v>
      </c>
      <c r="E677" t="s">
        <v>22</v>
      </c>
      <c r="F677" t="s">
        <v>23</v>
      </c>
      <c r="G677" t="s">
        <v>37</v>
      </c>
      <c r="H677" t="s">
        <v>38</v>
      </c>
      <c r="I677">
        <v>4</v>
      </c>
      <c r="J677">
        <v>7500</v>
      </c>
      <c r="K677">
        <v>5</v>
      </c>
      <c r="L677" t="s">
        <v>20</v>
      </c>
      <c r="M677">
        <f>I677*J677*(1-K677/100)</f>
        <v>28500</v>
      </c>
      <c r="N677" t="str">
        <f>TEXT(B677,"yyyy-mm")</f>
        <v>2025-06</v>
      </c>
    </row>
    <row r="678" spans="1:14" x14ac:dyDescent="0.3">
      <c r="A678">
        <v>5247</v>
      </c>
      <c r="B678" s="1">
        <v>45747</v>
      </c>
      <c r="C678">
        <v>1042</v>
      </c>
      <c r="D678" t="s">
        <v>21</v>
      </c>
      <c r="E678" t="s">
        <v>22</v>
      </c>
      <c r="F678" t="s">
        <v>23</v>
      </c>
      <c r="G678" t="s">
        <v>30</v>
      </c>
      <c r="H678" t="s">
        <v>31</v>
      </c>
      <c r="I678">
        <v>3</v>
      </c>
      <c r="J678">
        <v>350</v>
      </c>
      <c r="K678">
        <v>15</v>
      </c>
      <c r="L678" t="s">
        <v>17</v>
      </c>
      <c r="M678">
        <f>I678*J678*(1-K678/100)</f>
        <v>892.5</v>
      </c>
      <c r="N678" t="str">
        <f>TEXT(B678,"yyyy-mm")</f>
        <v>2025-03</v>
      </c>
    </row>
    <row r="679" spans="1:14" x14ac:dyDescent="0.3">
      <c r="A679">
        <v>5314</v>
      </c>
      <c r="B679" s="1">
        <v>45773</v>
      </c>
      <c r="C679">
        <v>1042</v>
      </c>
      <c r="D679" t="s">
        <v>21</v>
      </c>
      <c r="E679" t="s">
        <v>22</v>
      </c>
      <c r="F679" t="s">
        <v>23</v>
      </c>
      <c r="G679" t="s">
        <v>55</v>
      </c>
      <c r="H679" t="s">
        <v>16</v>
      </c>
      <c r="I679">
        <v>3</v>
      </c>
      <c r="J679">
        <v>2500</v>
      </c>
      <c r="K679">
        <v>5</v>
      </c>
      <c r="L679" t="s">
        <v>17</v>
      </c>
      <c r="M679">
        <f>I679*J679*(1-K679/100)</f>
        <v>7125</v>
      </c>
      <c r="N679" t="str">
        <f>TEXT(B679,"yyyy-mm")</f>
        <v>2025-04</v>
      </c>
    </row>
    <row r="680" spans="1:14" x14ac:dyDescent="0.3">
      <c r="A680">
        <v>5967</v>
      </c>
      <c r="B680" s="1">
        <v>46011</v>
      </c>
      <c r="C680">
        <v>1042</v>
      </c>
      <c r="D680" t="s">
        <v>21</v>
      </c>
      <c r="E680" t="s">
        <v>22</v>
      </c>
      <c r="F680" t="s">
        <v>23</v>
      </c>
      <c r="G680" t="s">
        <v>55</v>
      </c>
      <c r="H680" t="s">
        <v>16</v>
      </c>
      <c r="I680">
        <v>3</v>
      </c>
      <c r="J680">
        <v>2500</v>
      </c>
      <c r="K680">
        <v>0</v>
      </c>
      <c r="L680" t="s">
        <v>43</v>
      </c>
      <c r="M680">
        <f>I680*J680*(1-K680/100)</f>
        <v>7500</v>
      </c>
      <c r="N680" t="str">
        <f>TEXT(B680,"yyyy-mm")</f>
        <v>2025-12</v>
      </c>
    </row>
    <row r="681" spans="1:14" x14ac:dyDescent="0.3">
      <c r="A681">
        <v>5956</v>
      </c>
      <c r="B681" s="1">
        <v>46008</v>
      </c>
      <c r="C681">
        <v>1042</v>
      </c>
      <c r="D681" t="s">
        <v>21</v>
      </c>
      <c r="E681" t="s">
        <v>22</v>
      </c>
      <c r="F681" t="s">
        <v>23</v>
      </c>
      <c r="G681" t="s">
        <v>42</v>
      </c>
      <c r="H681" t="s">
        <v>31</v>
      </c>
      <c r="I681">
        <v>2</v>
      </c>
      <c r="J681">
        <v>200</v>
      </c>
      <c r="K681">
        <v>0</v>
      </c>
      <c r="L681" t="s">
        <v>34</v>
      </c>
      <c r="M681">
        <f>I681*J681*(1-K681/100)</f>
        <v>400</v>
      </c>
      <c r="N681" t="str">
        <f>TEXT(B681,"yyyy-mm")</f>
        <v>2025-12</v>
      </c>
    </row>
    <row r="682" spans="1:14" x14ac:dyDescent="0.3">
      <c r="A682">
        <v>5003</v>
      </c>
      <c r="B682" s="1">
        <v>45659</v>
      </c>
      <c r="C682">
        <v>1042</v>
      </c>
      <c r="D682" t="s">
        <v>21</v>
      </c>
      <c r="E682" t="s">
        <v>22</v>
      </c>
      <c r="F682" t="s">
        <v>23</v>
      </c>
      <c r="G682" t="s">
        <v>24</v>
      </c>
      <c r="H682" t="s">
        <v>16</v>
      </c>
      <c r="I682">
        <v>1</v>
      </c>
      <c r="J682">
        <v>22000</v>
      </c>
      <c r="K682">
        <v>10</v>
      </c>
      <c r="L682" t="s">
        <v>25</v>
      </c>
      <c r="M682">
        <f>I682*J682*(1-K682/100)</f>
        <v>19800</v>
      </c>
      <c r="N682" t="str">
        <f>TEXT(B682,"yyyy-mm")</f>
        <v>2025-01</v>
      </c>
    </row>
    <row r="683" spans="1:14" x14ac:dyDescent="0.3">
      <c r="A683">
        <v>5480</v>
      </c>
      <c r="B683" s="1">
        <v>45841</v>
      </c>
      <c r="C683">
        <v>1042</v>
      </c>
      <c r="D683" t="s">
        <v>21</v>
      </c>
      <c r="E683" t="s">
        <v>22</v>
      </c>
      <c r="F683" t="s">
        <v>23</v>
      </c>
      <c r="G683" t="s">
        <v>37</v>
      </c>
      <c r="H683" t="s">
        <v>38</v>
      </c>
      <c r="I683">
        <v>1</v>
      </c>
      <c r="J683">
        <v>7500</v>
      </c>
      <c r="K683">
        <v>15</v>
      </c>
      <c r="L683" t="s">
        <v>20</v>
      </c>
      <c r="M683">
        <f>I683*J683*(1-K683/100)</f>
        <v>6375</v>
      </c>
      <c r="N683" t="str">
        <f>TEXT(B683,"yyyy-mm")</f>
        <v>2025-07</v>
      </c>
    </row>
    <row r="684" spans="1:14" x14ac:dyDescent="0.3">
      <c r="A684">
        <v>5775</v>
      </c>
      <c r="B684" s="1">
        <v>45947</v>
      </c>
      <c r="C684">
        <v>1042</v>
      </c>
      <c r="D684" t="s">
        <v>21</v>
      </c>
      <c r="E684" t="s">
        <v>22</v>
      </c>
      <c r="F684" t="s">
        <v>23</v>
      </c>
      <c r="G684" t="s">
        <v>55</v>
      </c>
      <c r="H684" t="s">
        <v>16</v>
      </c>
      <c r="I684">
        <v>1</v>
      </c>
      <c r="J684">
        <v>2500</v>
      </c>
      <c r="K684">
        <v>0</v>
      </c>
      <c r="L684" t="s">
        <v>25</v>
      </c>
      <c r="M684">
        <f>I684*J684*(1-K684/100)</f>
        <v>2500</v>
      </c>
      <c r="N684" t="str">
        <f>TEXT(B684,"yyyy-mm")</f>
        <v>2025-10</v>
      </c>
    </row>
    <row r="685" spans="1:14" x14ac:dyDescent="0.3">
      <c r="A685">
        <v>5836</v>
      </c>
      <c r="B685" s="1">
        <v>45966</v>
      </c>
      <c r="C685">
        <v>1042</v>
      </c>
      <c r="D685" t="s">
        <v>21</v>
      </c>
      <c r="E685" t="s">
        <v>22</v>
      </c>
      <c r="F685" t="s">
        <v>23</v>
      </c>
      <c r="G685" t="s">
        <v>65</v>
      </c>
      <c r="H685" t="s">
        <v>16</v>
      </c>
      <c r="I685">
        <v>1</v>
      </c>
      <c r="J685">
        <v>12000</v>
      </c>
      <c r="K685">
        <v>5</v>
      </c>
      <c r="L685" t="s">
        <v>17</v>
      </c>
      <c r="M685">
        <f>I685*J685*(1-K685/100)</f>
        <v>11400</v>
      </c>
      <c r="N685" t="str">
        <f>TEXT(B685,"yyyy-mm")</f>
        <v>2025-11</v>
      </c>
    </row>
    <row r="686" spans="1:14" x14ac:dyDescent="0.3">
      <c r="A686">
        <v>5911</v>
      </c>
      <c r="B686" s="1">
        <v>45995</v>
      </c>
      <c r="C686">
        <v>1042</v>
      </c>
      <c r="D686" t="s">
        <v>21</v>
      </c>
      <c r="E686" t="s">
        <v>22</v>
      </c>
      <c r="F686" t="s">
        <v>23</v>
      </c>
      <c r="G686" t="s">
        <v>65</v>
      </c>
      <c r="H686" t="s">
        <v>16</v>
      </c>
      <c r="I686">
        <v>1</v>
      </c>
      <c r="J686">
        <v>12000</v>
      </c>
      <c r="K686">
        <v>5</v>
      </c>
      <c r="L686" t="s">
        <v>17</v>
      </c>
      <c r="M686">
        <f>I686*J686*(1-K686/100)</f>
        <v>11400</v>
      </c>
      <c r="N686" t="str">
        <f>TEXT(B686,"yyyy-mm")</f>
        <v>2025-12</v>
      </c>
    </row>
    <row r="687" spans="1:14" x14ac:dyDescent="0.3">
      <c r="A687">
        <v>5017</v>
      </c>
      <c r="B687" s="1">
        <v>45662</v>
      </c>
      <c r="C687">
        <v>1043</v>
      </c>
      <c r="D687" t="s">
        <v>47</v>
      </c>
      <c r="E687" t="s">
        <v>87</v>
      </c>
      <c r="F687" t="s">
        <v>27</v>
      </c>
      <c r="G687" t="s">
        <v>40</v>
      </c>
      <c r="H687" t="s">
        <v>38</v>
      </c>
      <c r="I687">
        <v>5</v>
      </c>
      <c r="J687">
        <v>900</v>
      </c>
      <c r="K687">
        <v>0</v>
      </c>
      <c r="L687" t="s">
        <v>17</v>
      </c>
      <c r="M687">
        <f>I687*J687*(1-K687/100)</f>
        <v>4500</v>
      </c>
      <c r="N687" t="str">
        <f>TEXT(B687,"yyyy-mm")</f>
        <v>2025-01</v>
      </c>
    </row>
    <row r="688" spans="1:14" x14ac:dyDescent="0.3">
      <c r="A688">
        <v>5239</v>
      </c>
      <c r="B688" s="1">
        <v>45745</v>
      </c>
      <c r="C688">
        <v>1043</v>
      </c>
      <c r="D688" t="s">
        <v>47</v>
      </c>
      <c r="E688" t="s">
        <v>33</v>
      </c>
      <c r="F688" t="s">
        <v>27</v>
      </c>
      <c r="G688" t="s">
        <v>65</v>
      </c>
      <c r="H688" t="s">
        <v>16</v>
      </c>
      <c r="I688">
        <v>5</v>
      </c>
      <c r="J688">
        <v>12000</v>
      </c>
      <c r="K688">
        <v>0</v>
      </c>
      <c r="L688" t="s">
        <v>20</v>
      </c>
      <c r="M688">
        <f>I688*J688*(1-K688/100)</f>
        <v>60000</v>
      </c>
      <c r="N688" t="str">
        <f>TEXT(B688,"yyyy-mm")</f>
        <v>2025-03</v>
      </c>
    </row>
    <row r="689" spans="1:14" x14ac:dyDescent="0.3">
      <c r="A689">
        <v>5855</v>
      </c>
      <c r="B689" s="1">
        <v>45971</v>
      </c>
      <c r="C689">
        <v>1043</v>
      </c>
      <c r="D689" t="s">
        <v>47</v>
      </c>
      <c r="E689" t="s">
        <v>33</v>
      </c>
      <c r="F689" t="s">
        <v>27</v>
      </c>
      <c r="G689" t="s">
        <v>24</v>
      </c>
      <c r="H689" t="s">
        <v>16</v>
      </c>
      <c r="I689">
        <v>5</v>
      </c>
      <c r="J689">
        <v>22000</v>
      </c>
      <c r="K689">
        <v>5</v>
      </c>
      <c r="L689" t="s">
        <v>34</v>
      </c>
      <c r="M689">
        <f>I689*J689*(1-K689/100)</f>
        <v>104500</v>
      </c>
      <c r="N689" t="str">
        <f>TEXT(B689,"yyyy-mm")</f>
        <v>2025-11</v>
      </c>
    </row>
    <row r="690" spans="1:14" x14ac:dyDescent="0.3">
      <c r="A690">
        <v>5995</v>
      </c>
      <c r="B690" s="1">
        <v>46021</v>
      </c>
      <c r="C690">
        <v>1043</v>
      </c>
      <c r="D690" t="s">
        <v>47</v>
      </c>
      <c r="E690" t="s">
        <v>33</v>
      </c>
      <c r="F690" t="s">
        <v>27</v>
      </c>
      <c r="G690" t="s">
        <v>55</v>
      </c>
      <c r="H690" t="s">
        <v>16</v>
      </c>
      <c r="I690">
        <v>5</v>
      </c>
      <c r="J690">
        <v>2500</v>
      </c>
      <c r="K690">
        <v>0</v>
      </c>
      <c r="L690" t="s">
        <v>43</v>
      </c>
      <c r="M690">
        <f>I690*J690*(1-K690/100)</f>
        <v>12500</v>
      </c>
      <c r="N690" t="str">
        <f>TEXT(B690,"yyyy-mm")</f>
        <v>2025-12</v>
      </c>
    </row>
    <row r="691" spans="1:14" x14ac:dyDescent="0.3">
      <c r="A691">
        <v>5222</v>
      </c>
      <c r="B691" s="1">
        <v>45740</v>
      </c>
      <c r="C691">
        <v>1043</v>
      </c>
      <c r="D691" t="s">
        <v>47</v>
      </c>
      <c r="E691" t="s">
        <v>33</v>
      </c>
      <c r="F691" t="s">
        <v>27</v>
      </c>
      <c r="G691" t="s">
        <v>65</v>
      </c>
      <c r="H691" t="s">
        <v>16</v>
      </c>
      <c r="I691">
        <v>4</v>
      </c>
      <c r="J691">
        <v>12000</v>
      </c>
      <c r="K691">
        <v>0</v>
      </c>
      <c r="L691" t="s">
        <v>25</v>
      </c>
      <c r="M691">
        <f>I691*J691*(1-K691/100)</f>
        <v>48000</v>
      </c>
      <c r="N691" t="str">
        <f>TEXT(B691,"yyyy-mm")</f>
        <v>2025-03</v>
      </c>
    </row>
    <row r="692" spans="1:14" x14ac:dyDescent="0.3">
      <c r="A692">
        <v>5295</v>
      </c>
      <c r="B692" s="1">
        <v>45767</v>
      </c>
      <c r="C692">
        <v>1043</v>
      </c>
      <c r="D692" t="s">
        <v>47</v>
      </c>
      <c r="E692" t="s">
        <v>33</v>
      </c>
      <c r="F692" t="s">
        <v>27</v>
      </c>
      <c r="G692" t="s">
        <v>55</v>
      </c>
      <c r="H692" t="s">
        <v>16</v>
      </c>
      <c r="I692">
        <v>4</v>
      </c>
      <c r="J692">
        <v>2500</v>
      </c>
      <c r="K692">
        <v>0</v>
      </c>
      <c r="L692" t="s">
        <v>34</v>
      </c>
      <c r="M692">
        <f>I692*J692*(1-K692/100)</f>
        <v>10000</v>
      </c>
      <c r="N692" t="str">
        <f>TEXT(B692,"yyyy-mm")</f>
        <v>2025-04</v>
      </c>
    </row>
    <row r="693" spans="1:14" x14ac:dyDescent="0.3">
      <c r="A693">
        <v>5300</v>
      </c>
      <c r="B693" s="1">
        <v>45769</v>
      </c>
      <c r="C693">
        <v>1043</v>
      </c>
      <c r="D693" t="s">
        <v>47</v>
      </c>
      <c r="E693" t="s">
        <v>87</v>
      </c>
      <c r="F693" t="s">
        <v>27</v>
      </c>
      <c r="G693" t="s">
        <v>55</v>
      </c>
      <c r="H693" t="s">
        <v>16</v>
      </c>
      <c r="I693">
        <v>4</v>
      </c>
      <c r="J693">
        <v>2500</v>
      </c>
      <c r="K693">
        <v>10</v>
      </c>
      <c r="L693" t="s">
        <v>20</v>
      </c>
      <c r="M693">
        <f>I693*J693*(1-K693/100)</f>
        <v>9000</v>
      </c>
      <c r="N693" t="str">
        <f>TEXT(B693,"yyyy-mm")</f>
        <v>2025-04</v>
      </c>
    </row>
    <row r="694" spans="1:14" x14ac:dyDescent="0.3">
      <c r="A694">
        <v>5841</v>
      </c>
      <c r="B694" s="1">
        <v>45967</v>
      </c>
      <c r="C694">
        <v>1043</v>
      </c>
      <c r="D694" t="s">
        <v>47</v>
      </c>
      <c r="E694" t="s">
        <v>87</v>
      </c>
      <c r="F694" t="s">
        <v>27</v>
      </c>
      <c r="G694" t="s">
        <v>24</v>
      </c>
      <c r="H694" t="s">
        <v>16</v>
      </c>
      <c r="I694">
        <v>2</v>
      </c>
      <c r="J694">
        <v>22000</v>
      </c>
      <c r="K694">
        <v>5</v>
      </c>
      <c r="L694" t="s">
        <v>17</v>
      </c>
      <c r="M694">
        <f>I694*J694*(1-K694/100)</f>
        <v>41800</v>
      </c>
      <c r="N694" t="str">
        <f>TEXT(B694,"yyyy-mm")</f>
        <v>2025-11</v>
      </c>
    </row>
    <row r="695" spans="1:14" x14ac:dyDescent="0.3">
      <c r="A695">
        <v>5945</v>
      </c>
      <c r="B695" s="1">
        <v>46005</v>
      </c>
      <c r="C695">
        <v>1043</v>
      </c>
      <c r="D695" t="s">
        <v>47</v>
      </c>
      <c r="E695" t="s">
        <v>33</v>
      </c>
      <c r="F695" t="s">
        <v>27</v>
      </c>
      <c r="G695" t="s">
        <v>65</v>
      </c>
      <c r="H695" t="s">
        <v>16</v>
      </c>
      <c r="I695">
        <v>2</v>
      </c>
      <c r="J695">
        <v>12000</v>
      </c>
      <c r="K695">
        <v>0</v>
      </c>
      <c r="L695" t="s">
        <v>34</v>
      </c>
      <c r="M695">
        <f>I695*J695*(1-K695/100)</f>
        <v>24000</v>
      </c>
      <c r="N695" t="str">
        <f>TEXT(B695,"yyyy-mm")</f>
        <v>2025-12</v>
      </c>
    </row>
    <row r="696" spans="1:14" x14ac:dyDescent="0.3">
      <c r="A696">
        <v>5048</v>
      </c>
      <c r="B696" s="1">
        <v>45674</v>
      </c>
      <c r="C696">
        <v>1043</v>
      </c>
      <c r="D696" t="s">
        <v>47</v>
      </c>
      <c r="E696" t="s">
        <v>33</v>
      </c>
      <c r="F696" t="s">
        <v>27</v>
      </c>
      <c r="G696" t="s">
        <v>42</v>
      </c>
      <c r="H696" t="s">
        <v>31</v>
      </c>
      <c r="I696">
        <v>1</v>
      </c>
      <c r="J696">
        <v>200</v>
      </c>
      <c r="K696">
        <v>0</v>
      </c>
      <c r="L696" t="s">
        <v>20</v>
      </c>
      <c r="M696">
        <f>I696*J696*(1-K696/100)</f>
        <v>200</v>
      </c>
      <c r="N696" t="str">
        <f>TEXT(B696,"yyyy-mm")</f>
        <v>2025-01</v>
      </c>
    </row>
    <row r="697" spans="1:14" x14ac:dyDescent="0.3">
      <c r="A697">
        <v>5594</v>
      </c>
      <c r="B697" s="1">
        <v>45882</v>
      </c>
      <c r="C697">
        <v>1043</v>
      </c>
      <c r="D697" t="s">
        <v>47</v>
      </c>
      <c r="E697" t="s">
        <v>33</v>
      </c>
      <c r="F697" t="s">
        <v>27</v>
      </c>
      <c r="G697" t="s">
        <v>65</v>
      </c>
      <c r="H697" t="s">
        <v>16</v>
      </c>
      <c r="I697">
        <v>1</v>
      </c>
      <c r="J697">
        <v>12000</v>
      </c>
      <c r="K697">
        <v>0</v>
      </c>
      <c r="L697" t="s">
        <v>20</v>
      </c>
      <c r="M697">
        <f>I697*J697*(1-K697/100)</f>
        <v>12000</v>
      </c>
      <c r="N697" t="str">
        <f>TEXT(B697,"yyyy-mm")</f>
        <v>2025-08</v>
      </c>
    </row>
    <row r="698" spans="1:14" x14ac:dyDescent="0.3">
      <c r="A698">
        <v>5755</v>
      </c>
      <c r="B698" s="1">
        <v>45939</v>
      </c>
      <c r="C698">
        <v>1043</v>
      </c>
      <c r="D698" t="s">
        <v>47</v>
      </c>
      <c r="E698" t="s">
        <v>33</v>
      </c>
      <c r="F698" t="s">
        <v>27</v>
      </c>
      <c r="G698" t="s">
        <v>30</v>
      </c>
      <c r="H698" t="s">
        <v>31</v>
      </c>
      <c r="I698">
        <v>1</v>
      </c>
      <c r="J698">
        <v>350</v>
      </c>
      <c r="K698">
        <v>10</v>
      </c>
      <c r="L698" t="s">
        <v>17</v>
      </c>
      <c r="M698">
        <f>I698*J698*(1-K698/100)</f>
        <v>315</v>
      </c>
      <c r="N698" t="str">
        <f>TEXT(B698,"yyyy-mm")</f>
        <v>2025-10</v>
      </c>
    </row>
    <row r="699" spans="1:14" x14ac:dyDescent="0.3">
      <c r="A699">
        <v>5820</v>
      </c>
      <c r="B699" s="1">
        <v>45962</v>
      </c>
      <c r="C699">
        <v>1043</v>
      </c>
      <c r="D699" t="s">
        <v>47</v>
      </c>
      <c r="E699" t="s">
        <v>33</v>
      </c>
      <c r="F699" t="s">
        <v>27</v>
      </c>
      <c r="G699" t="s">
        <v>30</v>
      </c>
      <c r="H699" t="s">
        <v>31</v>
      </c>
      <c r="I699">
        <v>1</v>
      </c>
      <c r="J699">
        <v>350</v>
      </c>
      <c r="K699">
        <v>15</v>
      </c>
      <c r="L699" t="s">
        <v>25</v>
      </c>
      <c r="M699">
        <f>I699*J699*(1-K699/100)</f>
        <v>297.5</v>
      </c>
      <c r="N699" t="str">
        <f>TEXT(B699,"yyyy-mm")</f>
        <v>2025-11</v>
      </c>
    </row>
    <row r="700" spans="1:14" x14ac:dyDescent="0.3">
      <c r="A700">
        <v>5341</v>
      </c>
      <c r="B700" s="1">
        <v>45784</v>
      </c>
      <c r="C700">
        <v>1044</v>
      </c>
      <c r="D700" t="s">
        <v>59</v>
      </c>
      <c r="E700" t="s">
        <v>33</v>
      </c>
      <c r="F700" t="s">
        <v>14</v>
      </c>
      <c r="G700" t="s">
        <v>24</v>
      </c>
      <c r="H700" t="s">
        <v>16</v>
      </c>
      <c r="I700">
        <v>5</v>
      </c>
      <c r="J700">
        <v>22000</v>
      </c>
      <c r="K700">
        <v>10</v>
      </c>
      <c r="L700" t="s">
        <v>17</v>
      </c>
      <c r="M700">
        <f>I700*J700*(1-K700/100)</f>
        <v>99000</v>
      </c>
      <c r="N700" t="str">
        <f>TEXT(B700,"yyyy-mm")</f>
        <v>2025-05</v>
      </c>
    </row>
    <row r="701" spans="1:14" x14ac:dyDescent="0.3">
      <c r="A701">
        <v>5375</v>
      </c>
      <c r="B701" s="1">
        <v>45801</v>
      </c>
      <c r="C701">
        <v>1044</v>
      </c>
      <c r="D701" t="s">
        <v>59</v>
      </c>
      <c r="E701" t="s">
        <v>33</v>
      </c>
      <c r="F701" t="s">
        <v>14</v>
      </c>
      <c r="G701" t="s">
        <v>42</v>
      </c>
      <c r="H701" t="s">
        <v>31</v>
      </c>
      <c r="I701">
        <v>5</v>
      </c>
      <c r="J701">
        <v>200</v>
      </c>
      <c r="K701">
        <v>0</v>
      </c>
      <c r="L701" t="s">
        <v>25</v>
      </c>
      <c r="M701">
        <f>I701*J701*(1-K701/100)</f>
        <v>1000</v>
      </c>
      <c r="N701" t="str">
        <f>TEXT(B701,"yyyy-mm")</f>
        <v>2025-05</v>
      </c>
    </row>
    <row r="702" spans="1:14" x14ac:dyDescent="0.3">
      <c r="A702">
        <v>5787</v>
      </c>
      <c r="B702" s="1">
        <v>45950</v>
      </c>
      <c r="C702">
        <v>1044</v>
      </c>
      <c r="D702" t="s">
        <v>59</v>
      </c>
      <c r="E702" t="s">
        <v>33</v>
      </c>
      <c r="F702" t="s">
        <v>14</v>
      </c>
      <c r="G702" t="s">
        <v>57</v>
      </c>
      <c r="H702" t="s">
        <v>38</v>
      </c>
      <c r="I702">
        <v>5</v>
      </c>
      <c r="J702">
        <v>16000</v>
      </c>
      <c r="K702">
        <v>0</v>
      </c>
      <c r="L702" t="s">
        <v>17</v>
      </c>
      <c r="M702">
        <f>I702*J702*(1-K702/100)</f>
        <v>80000</v>
      </c>
      <c r="N702" t="str">
        <f>TEXT(B702,"yyyy-mm")</f>
        <v>2025-10</v>
      </c>
    </row>
    <row r="703" spans="1:14" x14ac:dyDescent="0.3">
      <c r="A703">
        <v>5579</v>
      </c>
      <c r="B703" s="1">
        <v>45876</v>
      </c>
      <c r="C703">
        <v>1044</v>
      </c>
      <c r="D703" t="s">
        <v>59</v>
      </c>
      <c r="E703" t="s">
        <v>33</v>
      </c>
      <c r="F703" t="s">
        <v>14</v>
      </c>
      <c r="G703" t="s">
        <v>36</v>
      </c>
      <c r="H703" t="s">
        <v>16</v>
      </c>
      <c r="I703">
        <v>4</v>
      </c>
      <c r="J703">
        <v>55000</v>
      </c>
      <c r="K703">
        <v>5</v>
      </c>
      <c r="L703" t="s">
        <v>17</v>
      </c>
      <c r="M703">
        <f>I703*J703*(1-K703/100)</f>
        <v>209000</v>
      </c>
      <c r="N703" t="str">
        <f>TEXT(B703,"yyyy-mm")</f>
        <v>2025-08</v>
      </c>
    </row>
    <row r="704" spans="1:14" x14ac:dyDescent="0.3">
      <c r="A704">
        <v>5603</v>
      </c>
      <c r="B704" s="1">
        <v>45884</v>
      </c>
      <c r="C704">
        <v>1044</v>
      </c>
      <c r="D704" t="s">
        <v>59</v>
      </c>
      <c r="E704" t="s">
        <v>33</v>
      </c>
      <c r="F704" t="s">
        <v>14</v>
      </c>
      <c r="G704" t="s">
        <v>65</v>
      </c>
      <c r="H704" t="s">
        <v>16</v>
      </c>
      <c r="I704">
        <v>4</v>
      </c>
      <c r="J704">
        <v>12000</v>
      </c>
      <c r="K704">
        <v>0</v>
      </c>
      <c r="L704" t="s">
        <v>20</v>
      </c>
      <c r="M704">
        <f>I704*J704*(1-K704/100)</f>
        <v>48000</v>
      </c>
      <c r="N704" t="str">
        <f>TEXT(B704,"yyyy-mm")</f>
        <v>2025-08</v>
      </c>
    </row>
    <row r="705" spans="1:14" x14ac:dyDescent="0.3">
      <c r="A705">
        <v>5719</v>
      </c>
      <c r="B705" s="1">
        <v>45927</v>
      </c>
      <c r="C705">
        <v>1044</v>
      </c>
      <c r="D705" t="s">
        <v>59</v>
      </c>
      <c r="E705" t="s">
        <v>33</v>
      </c>
      <c r="F705" t="s">
        <v>14</v>
      </c>
      <c r="G705" t="s">
        <v>30</v>
      </c>
      <c r="H705" t="s">
        <v>31</v>
      </c>
      <c r="I705">
        <v>4</v>
      </c>
      <c r="J705">
        <v>350</v>
      </c>
      <c r="K705">
        <v>0</v>
      </c>
      <c r="L705" t="s">
        <v>20</v>
      </c>
      <c r="M705">
        <f>I705*J705*(1-K705/100)</f>
        <v>1400</v>
      </c>
      <c r="N705" t="str">
        <f>TEXT(B705,"yyyy-mm")</f>
        <v>2025-09</v>
      </c>
    </row>
    <row r="706" spans="1:14" x14ac:dyDescent="0.3">
      <c r="A706">
        <v>5764</v>
      </c>
      <c r="B706" s="1">
        <v>45942</v>
      </c>
      <c r="C706">
        <v>1044</v>
      </c>
      <c r="D706" t="s">
        <v>59</v>
      </c>
      <c r="E706" t="s">
        <v>33</v>
      </c>
      <c r="F706" t="s">
        <v>14</v>
      </c>
      <c r="G706" t="s">
        <v>30</v>
      </c>
      <c r="H706" t="s">
        <v>31</v>
      </c>
      <c r="I706">
        <v>4</v>
      </c>
      <c r="J706">
        <v>350</v>
      </c>
      <c r="K706">
        <v>0</v>
      </c>
      <c r="L706" t="s">
        <v>20</v>
      </c>
      <c r="M706">
        <f>I706*J706*(1-K706/100)</f>
        <v>1400</v>
      </c>
      <c r="N706" t="str">
        <f>TEXT(B706,"yyyy-mm")</f>
        <v>2025-10</v>
      </c>
    </row>
    <row r="707" spans="1:14" x14ac:dyDescent="0.3">
      <c r="A707">
        <v>5968</v>
      </c>
      <c r="B707" s="1">
        <v>46011</v>
      </c>
      <c r="C707">
        <v>1044</v>
      </c>
      <c r="D707" t="s">
        <v>59</v>
      </c>
      <c r="E707" t="s">
        <v>33</v>
      </c>
      <c r="F707" t="s">
        <v>14</v>
      </c>
      <c r="G707" t="s">
        <v>36</v>
      </c>
      <c r="H707" t="s">
        <v>16</v>
      </c>
      <c r="I707">
        <v>4</v>
      </c>
      <c r="J707">
        <v>55000</v>
      </c>
      <c r="K707">
        <v>0</v>
      </c>
      <c r="L707" t="s">
        <v>34</v>
      </c>
      <c r="M707">
        <f>I707*J707*(1-K707/100)</f>
        <v>220000</v>
      </c>
      <c r="N707" t="str">
        <f>TEXT(B707,"yyyy-mm")</f>
        <v>2025-12</v>
      </c>
    </row>
    <row r="708" spans="1:14" x14ac:dyDescent="0.3">
      <c r="A708">
        <v>5370</v>
      </c>
      <c r="B708" s="1">
        <v>45798</v>
      </c>
      <c r="C708">
        <v>1044</v>
      </c>
      <c r="D708" t="s">
        <v>59</v>
      </c>
      <c r="E708" t="s">
        <v>33</v>
      </c>
      <c r="F708" t="s">
        <v>14</v>
      </c>
      <c r="G708" t="s">
        <v>55</v>
      </c>
      <c r="H708" t="s">
        <v>16</v>
      </c>
      <c r="I708">
        <v>3</v>
      </c>
      <c r="J708">
        <v>2500</v>
      </c>
      <c r="K708">
        <v>0</v>
      </c>
      <c r="L708" t="s">
        <v>20</v>
      </c>
      <c r="M708">
        <f>I708*J708*(1-K708/100)</f>
        <v>7500</v>
      </c>
      <c r="N708" t="str">
        <f>TEXT(B708,"yyyy-mm")</f>
        <v>2025-05</v>
      </c>
    </row>
    <row r="709" spans="1:14" x14ac:dyDescent="0.3">
      <c r="A709">
        <v>5718</v>
      </c>
      <c r="B709" s="1">
        <v>45927</v>
      </c>
      <c r="C709">
        <v>1044</v>
      </c>
      <c r="D709" t="s">
        <v>59</v>
      </c>
      <c r="E709" t="s">
        <v>33</v>
      </c>
      <c r="F709" t="s">
        <v>14</v>
      </c>
      <c r="G709" t="s">
        <v>55</v>
      </c>
      <c r="H709" t="s">
        <v>16</v>
      </c>
      <c r="I709">
        <v>3</v>
      </c>
      <c r="J709">
        <v>2500</v>
      </c>
      <c r="K709">
        <v>5</v>
      </c>
      <c r="L709" t="s">
        <v>43</v>
      </c>
      <c r="M709">
        <f>I709*J709*(1-K709/100)</f>
        <v>7125</v>
      </c>
      <c r="N709" t="str">
        <f>TEXT(B709,"yyyy-mm")</f>
        <v>2025-09</v>
      </c>
    </row>
    <row r="710" spans="1:14" x14ac:dyDescent="0.3">
      <c r="A710">
        <v>5767</v>
      </c>
      <c r="B710" s="1">
        <v>45943</v>
      </c>
      <c r="C710">
        <v>1044</v>
      </c>
      <c r="D710" t="s">
        <v>59</v>
      </c>
      <c r="E710" t="s">
        <v>33</v>
      </c>
      <c r="F710" t="s">
        <v>14</v>
      </c>
      <c r="G710" t="s">
        <v>42</v>
      </c>
      <c r="H710" t="s">
        <v>31</v>
      </c>
      <c r="I710">
        <v>3</v>
      </c>
      <c r="J710">
        <v>200</v>
      </c>
      <c r="K710">
        <v>5</v>
      </c>
      <c r="L710" t="s">
        <v>20</v>
      </c>
      <c r="M710">
        <f>I710*J710*(1-K710/100)</f>
        <v>570</v>
      </c>
      <c r="N710" t="str">
        <f>TEXT(B710,"yyyy-mm")</f>
        <v>2025-10</v>
      </c>
    </row>
    <row r="711" spans="1:14" x14ac:dyDescent="0.3">
      <c r="A711">
        <v>5032</v>
      </c>
      <c r="B711" s="1">
        <v>45668</v>
      </c>
      <c r="C711">
        <v>1044</v>
      </c>
      <c r="D711" t="s">
        <v>59</v>
      </c>
      <c r="E711" t="s">
        <v>33</v>
      </c>
      <c r="F711" t="s">
        <v>14</v>
      </c>
      <c r="G711" t="s">
        <v>24</v>
      </c>
      <c r="H711" t="s">
        <v>16</v>
      </c>
      <c r="I711">
        <v>2</v>
      </c>
      <c r="J711">
        <v>22000</v>
      </c>
      <c r="K711">
        <v>10</v>
      </c>
      <c r="L711" t="s">
        <v>34</v>
      </c>
      <c r="M711">
        <f>I711*J711*(1-K711/100)</f>
        <v>39600</v>
      </c>
      <c r="N711" t="str">
        <f>TEXT(B711,"yyyy-mm")</f>
        <v>2025-01</v>
      </c>
    </row>
    <row r="712" spans="1:14" x14ac:dyDescent="0.3">
      <c r="A712">
        <v>5450</v>
      </c>
      <c r="B712" s="1">
        <v>45829</v>
      </c>
      <c r="C712">
        <v>1044</v>
      </c>
      <c r="D712" t="s">
        <v>59</v>
      </c>
      <c r="E712" t="s">
        <v>33</v>
      </c>
      <c r="F712" t="s">
        <v>14</v>
      </c>
      <c r="G712" t="s">
        <v>55</v>
      </c>
      <c r="H712" t="s">
        <v>16</v>
      </c>
      <c r="I712">
        <v>2</v>
      </c>
      <c r="J712">
        <v>2500</v>
      </c>
      <c r="K712">
        <v>0</v>
      </c>
      <c r="L712" t="s">
        <v>25</v>
      </c>
      <c r="M712">
        <f>I712*J712*(1-K712/100)</f>
        <v>5000</v>
      </c>
      <c r="N712" t="str">
        <f>TEXT(B712,"yyyy-mm")</f>
        <v>2025-06</v>
      </c>
    </row>
    <row r="713" spans="1:14" x14ac:dyDescent="0.3">
      <c r="A713">
        <v>5831</v>
      </c>
      <c r="B713" s="1">
        <v>45964</v>
      </c>
      <c r="C713">
        <v>1044</v>
      </c>
      <c r="D713" t="s">
        <v>59</v>
      </c>
      <c r="E713" t="s">
        <v>33</v>
      </c>
      <c r="F713" t="s">
        <v>14</v>
      </c>
      <c r="G713" t="s">
        <v>19</v>
      </c>
      <c r="H713" t="s">
        <v>16</v>
      </c>
      <c r="I713">
        <v>2</v>
      </c>
      <c r="J713">
        <v>9500</v>
      </c>
      <c r="K713">
        <v>0</v>
      </c>
      <c r="L713" t="s">
        <v>43</v>
      </c>
      <c r="M713">
        <f>I713*J713*(1-K713/100)</f>
        <v>19000</v>
      </c>
      <c r="N713" t="str">
        <f>TEXT(B713,"yyyy-mm")</f>
        <v>2025-11</v>
      </c>
    </row>
    <row r="714" spans="1:14" x14ac:dyDescent="0.3">
      <c r="A714">
        <v>5298</v>
      </c>
      <c r="B714" s="1">
        <v>45768</v>
      </c>
      <c r="C714">
        <v>1044</v>
      </c>
      <c r="D714" t="s">
        <v>59</v>
      </c>
      <c r="E714" t="s">
        <v>33</v>
      </c>
      <c r="F714" t="s">
        <v>14</v>
      </c>
      <c r="G714" t="s">
        <v>30</v>
      </c>
      <c r="H714" t="s">
        <v>31</v>
      </c>
      <c r="I714">
        <v>1</v>
      </c>
      <c r="J714">
        <v>350</v>
      </c>
      <c r="K714">
        <v>10</v>
      </c>
      <c r="L714" t="s">
        <v>34</v>
      </c>
      <c r="M714">
        <f>I714*J714*(1-K714/100)</f>
        <v>315</v>
      </c>
      <c r="N714" t="str">
        <f>TEXT(B714,"yyyy-mm")</f>
        <v>2025-04</v>
      </c>
    </row>
    <row r="715" spans="1:14" x14ac:dyDescent="0.3">
      <c r="A715">
        <v>5424</v>
      </c>
      <c r="B715" s="1">
        <v>45820</v>
      </c>
      <c r="C715">
        <v>1044</v>
      </c>
      <c r="D715" t="s">
        <v>59</v>
      </c>
      <c r="E715" t="s">
        <v>33</v>
      </c>
      <c r="F715" t="s">
        <v>14</v>
      </c>
      <c r="G715" t="s">
        <v>40</v>
      </c>
      <c r="H715" t="s">
        <v>38</v>
      </c>
      <c r="I715">
        <v>1</v>
      </c>
      <c r="J715">
        <v>900</v>
      </c>
      <c r="K715">
        <v>5</v>
      </c>
      <c r="L715" t="s">
        <v>43</v>
      </c>
      <c r="M715">
        <f>I715*J715*(1-K715/100)</f>
        <v>855</v>
      </c>
      <c r="N715" t="str">
        <f>TEXT(B715,"yyyy-mm")</f>
        <v>2025-06</v>
      </c>
    </row>
    <row r="716" spans="1:14" x14ac:dyDescent="0.3">
      <c r="A716">
        <v>5302</v>
      </c>
      <c r="B716" s="1">
        <v>45769</v>
      </c>
      <c r="C716">
        <v>1045</v>
      </c>
      <c r="D716" t="s">
        <v>66</v>
      </c>
      <c r="E716" t="s">
        <v>33</v>
      </c>
      <c r="F716" t="s">
        <v>27</v>
      </c>
      <c r="G716" t="s">
        <v>30</v>
      </c>
      <c r="H716" t="s">
        <v>31</v>
      </c>
      <c r="I716">
        <v>5</v>
      </c>
      <c r="J716">
        <v>350</v>
      </c>
      <c r="K716">
        <v>10</v>
      </c>
      <c r="L716" t="s">
        <v>43</v>
      </c>
      <c r="M716">
        <f>I716*J716*(1-K716/100)</f>
        <v>1575</v>
      </c>
      <c r="N716" t="str">
        <f>TEXT(B716,"yyyy-mm")</f>
        <v>2025-04</v>
      </c>
    </row>
    <row r="717" spans="1:14" x14ac:dyDescent="0.3">
      <c r="A717">
        <v>5422</v>
      </c>
      <c r="B717" s="1">
        <v>45819</v>
      </c>
      <c r="C717">
        <v>1045</v>
      </c>
      <c r="D717" t="s">
        <v>66</v>
      </c>
      <c r="E717" t="s">
        <v>33</v>
      </c>
      <c r="F717" t="s">
        <v>27</v>
      </c>
      <c r="G717" t="s">
        <v>30</v>
      </c>
      <c r="H717" t="s">
        <v>31</v>
      </c>
      <c r="I717">
        <v>5</v>
      </c>
      <c r="J717">
        <v>350</v>
      </c>
      <c r="K717">
        <v>15</v>
      </c>
      <c r="L717" t="s">
        <v>34</v>
      </c>
      <c r="M717">
        <f>I717*J717*(1-K717/100)</f>
        <v>1487.5</v>
      </c>
      <c r="N717" t="str">
        <f>TEXT(B717,"yyyy-mm")</f>
        <v>2025-06</v>
      </c>
    </row>
    <row r="718" spans="1:14" x14ac:dyDescent="0.3">
      <c r="A718">
        <v>5757</v>
      </c>
      <c r="B718" s="1">
        <v>45940</v>
      </c>
      <c r="C718">
        <v>1045</v>
      </c>
      <c r="D718" t="s">
        <v>66</v>
      </c>
      <c r="E718" t="s">
        <v>33</v>
      </c>
      <c r="F718" t="s">
        <v>27</v>
      </c>
      <c r="G718" t="s">
        <v>37</v>
      </c>
      <c r="H718" t="s">
        <v>38</v>
      </c>
      <c r="I718">
        <v>5</v>
      </c>
      <c r="J718">
        <v>7500</v>
      </c>
      <c r="K718">
        <v>0</v>
      </c>
      <c r="L718" t="s">
        <v>17</v>
      </c>
      <c r="M718">
        <f>I718*J718*(1-K718/100)</f>
        <v>37500</v>
      </c>
      <c r="N718" t="str">
        <f>TEXT(B718,"yyyy-mm")</f>
        <v>2025-10</v>
      </c>
    </row>
    <row r="719" spans="1:14" x14ac:dyDescent="0.3">
      <c r="A719">
        <v>5758</v>
      </c>
      <c r="B719" s="1">
        <v>45941</v>
      </c>
      <c r="C719">
        <v>1045</v>
      </c>
      <c r="D719" t="s">
        <v>66</v>
      </c>
      <c r="E719" t="s">
        <v>33</v>
      </c>
      <c r="F719" t="s">
        <v>27</v>
      </c>
      <c r="G719" t="s">
        <v>24</v>
      </c>
      <c r="H719" t="s">
        <v>16</v>
      </c>
      <c r="I719">
        <v>5</v>
      </c>
      <c r="J719">
        <v>22000</v>
      </c>
      <c r="K719">
        <v>0</v>
      </c>
      <c r="L719" t="s">
        <v>34</v>
      </c>
      <c r="M719">
        <f>I719*J719*(1-K719/100)</f>
        <v>110000</v>
      </c>
      <c r="N719" t="str">
        <f>TEXT(B719,"yyyy-mm")</f>
        <v>2025-10</v>
      </c>
    </row>
    <row r="720" spans="1:14" x14ac:dyDescent="0.3">
      <c r="A720">
        <v>5049</v>
      </c>
      <c r="B720" s="1">
        <v>45674</v>
      </c>
      <c r="C720">
        <v>1045</v>
      </c>
      <c r="D720" t="s">
        <v>66</v>
      </c>
      <c r="E720" t="s">
        <v>33</v>
      </c>
      <c r="F720" t="s">
        <v>27</v>
      </c>
      <c r="G720" t="s">
        <v>55</v>
      </c>
      <c r="H720" t="s">
        <v>16</v>
      </c>
      <c r="I720">
        <v>4</v>
      </c>
      <c r="J720">
        <v>2500</v>
      </c>
      <c r="K720">
        <v>0</v>
      </c>
      <c r="L720" t="s">
        <v>25</v>
      </c>
      <c r="M720">
        <f>I720*J720*(1-K720/100)</f>
        <v>10000</v>
      </c>
      <c r="N720" t="str">
        <f>TEXT(B720,"yyyy-mm")</f>
        <v>2025-01</v>
      </c>
    </row>
    <row r="721" spans="1:14" x14ac:dyDescent="0.3">
      <c r="A721">
        <v>5291</v>
      </c>
      <c r="B721" s="1">
        <v>45766</v>
      </c>
      <c r="C721">
        <v>1045</v>
      </c>
      <c r="D721" t="s">
        <v>66</v>
      </c>
      <c r="E721" t="s">
        <v>33</v>
      </c>
      <c r="F721" t="s">
        <v>27</v>
      </c>
      <c r="G721" t="s">
        <v>55</v>
      </c>
      <c r="H721" t="s">
        <v>16</v>
      </c>
      <c r="I721">
        <v>4</v>
      </c>
      <c r="J721">
        <v>2500</v>
      </c>
      <c r="K721">
        <v>15</v>
      </c>
      <c r="L721" t="s">
        <v>43</v>
      </c>
      <c r="M721">
        <f>I721*J721*(1-K721/100)</f>
        <v>8500</v>
      </c>
      <c r="N721" t="str">
        <f>TEXT(B721,"yyyy-mm")</f>
        <v>2025-04</v>
      </c>
    </row>
    <row r="722" spans="1:14" x14ac:dyDescent="0.3">
      <c r="A722">
        <v>5545</v>
      </c>
      <c r="B722" s="1">
        <v>45860</v>
      </c>
      <c r="C722">
        <v>1045</v>
      </c>
      <c r="D722" t="s">
        <v>66</v>
      </c>
      <c r="E722" t="s">
        <v>33</v>
      </c>
      <c r="F722" t="s">
        <v>27</v>
      </c>
      <c r="G722" t="s">
        <v>42</v>
      </c>
      <c r="H722" t="s">
        <v>31</v>
      </c>
      <c r="I722">
        <v>4</v>
      </c>
      <c r="J722">
        <v>200</v>
      </c>
      <c r="K722">
        <v>5</v>
      </c>
      <c r="L722" t="s">
        <v>43</v>
      </c>
      <c r="M722">
        <f>I722*J722*(1-K722/100)</f>
        <v>760</v>
      </c>
      <c r="N722" t="str">
        <f>TEXT(B722,"yyyy-mm")</f>
        <v>2025-07</v>
      </c>
    </row>
    <row r="723" spans="1:14" x14ac:dyDescent="0.3">
      <c r="A723">
        <v>5560</v>
      </c>
      <c r="B723" s="1">
        <v>45868</v>
      </c>
      <c r="C723">
        <v>1045</v>
      </c>
      <c r="D723" t="s">
        <v>66</v>
      </c>
      <c r="E723" t="s">
        <v>33</v>
      </c>
      <c r="F723" t="s">
        <v>27</v>
      </c>
      <c r="G723" t="s">
        <v>55</v>
      </c>
      <c r="H723" t="s">
        <v>16</v>
      </c>
      <c r="I723">
        <v>4</v>
      </c>
      <c r="J723">
        <v>2500</v>
      </c>
      <c r="K723">
        <v>0</v>
      </c>
      <c r="L723" t="s">
        <v>25</v>
      </c>
      <c r="M723">
        <f>I723*J723*(1-K723/100)</f>
        <v>10000</v>
      </c>
      <c r="N723" t="str">
        <f>TEXT(B723,"yyyy-mm")</f>
        <v>2025-07</v>
      </c>
    </row>
    <row r="724" spans="1:14" x14ac:dyDescent="0.3">
      <c r="A724">
        <v>5599</v>
      </c>
      <c r="B724" s="1">
        <v>45882</v>
      </c>
      <c r="C724">
        <v>1045</v>
      </c>
      <c r="D724" t="s">
        <v>66</v>
      </c>
      <c r="E724" t="s">
        <v>33</v>
      </c>
      <c r="F724" t="s">
        <v>27</v>
      </c>
      <c r="G724" t="s">
        <v>57</v>
      </c>
      <c r="H724" t="s">
        <v>38</v>
      </c>
      <c r="I724">
        <v>4</v>
      </c>
      <c r="J724">
        <v>16000</v>
      </c>
      <c r="K724">
        <v>10</v>
      </c>
      <c r="L724" t="s">
        <v>25</v>
      </c>
      <c r="M724">
        <f>I724*J724*(1-K724/100)</f>
        <v>57600</v>
      </c>
      <c r="N724" t="str">
        <f>TEXT(B724,"yyyy-mm")</f>
        <v>2025-08</v>
      </c>
    </row>
    <row r="725" spans="1:14" x14ac:dyDescent="0.3">
      <c r="A725">
        <v>5994</v>
      </c>
      <c r="B725" s="1">
        <v>46021</v>
      </c>
      <c r="C725">
        <v>1045</v>
      </c>
      <c r="D725" t="s">
        <v>66</v>
      </c>
      <c r="E725" t="s">
        <v>33</v>
      </c>
      <c r="F725" t="s">
        <v>27</v>
      </c>
      <c r="G725" t="s">
        <v>40</v>
      </c>
      <c r="H725" t="s">
        <v>38</v>
      </c>
      <c r="I725">
        <v>4</v>
      </c>
      <c r="J725">
        <v>900</v>
      </c>
      <c r="K725">
        <v>0</v>
      </c>
      <c r="L725" t="s">
        <v>43</v>
      </c>
      <c r="M725">
        <f>I725*J725*(1-K725/100)</f>
        <v>3600</v>
      </c>
      <c r="N725" t="str">
        <f>TEXT(B725,"yyyy-mm")</f>
        <v>2025-12</v>
      </c>
    </row>
    <row r="726" spans="1:14" x14ac:dyDescent="0.3">
      <c r="A726">
        <v>5149</v>
      </c>
      <c r="B726" s="1">
        <v>45709</v>
      </c>
      <c r="C726">
        <v>1045</v>
      </c>
      <c r="D726" t="s">
        <v>66</v>
      </c>
      <c r="E726" t="s">
        <v>33</v>
      </c>
      <c r="F726" t="s">
        <v>27</v>
      </c>
      <c r="G726" t="s">
        <v>42</v>
      </c>
      <c r="H726" t="s">
        <v>31</v>
      </c>
      <c r="I726">
        <v>3</v>
      </c>
      <c r="J726">
        <v>200</v>
      </c>
      <c r="K726">
        <v>5</v>
      </c>
      <c r="L726" t="s">
        <v>17</v>
      </c>
      <c r="M726">
        <f>I726*J726*(1-K726/100)</f>
        <v>570</v>
      </c>
      <c r="N726" t="str">
        <f>TEXT(B726,"yyyy-mm")</f>
        <v>2025-02</v>
      </c>
    </row>
    <row r="727" spans="1:14" x14ac:dyDescent="0.3">
      <c r="A727">
        <v>5273</v>
      </c>
      <c r="B727" s="1">
        <v>45759</v>
      </c>
      <c r="C727">
        <v>1045</v>
      </c>
      <c r="D727" t="s">
        <v>66</v>
      </c>
      <c r="E727" t="s">
        <v>33</v>
      </c>
      <c r="F727" t="s">
        <v>27</v>
      </c>
      <c r="G727" t="s">
        <v>37</v>
      </c>
      <c r="H727" t="s">
        <v>38</v>
      </c>
      <c r="I727">
        <v>3</v>
      </c>
      <c r="J727">
        <v>7500</v>
      </c>
      <c r="K727">
        <v>0</v>
      </c>
      <c r="L727" t="s">
        <v>43</v>
      </c>
      <c r="M727">
        <f>I727*J727*(1-K727/100)</f>
        <v>22500</v>
      </c>
      <c r="N727" t="str">
        <f>TEXT(B727,"yyyy-mm")</f>
        <v>2025-04</v>
      </c>
    </row>
    <row r="728" spans="1:14" x14ac:dyDescent="0.3">
      <c r="A728">
        <v>5414</v>
      </c>
      <c r="B728" s="1">
        <v>45816</v>
      </c>
      <c r="C728">
        <v>1045</v>
      </c>
      <c r="D728" t="s">
        <v>66</v>
      </c>
      <c r="E728" t="s">
        <v>33</v>
      </c>
      <c r="F728" t="s">
        <v>27</v>
      </c>
      <c r="G728" t="s">
        <v>65</v>
      </c>
      <c r="H728" t="s">
        <v>16</v>
      </c>
      <c r="I728">
        <v>3</v>
      </c>
      <c r="J728">
        <v>12000</v>
      </c>
      <c r="K728">
        <v>10</v>
      </c>
      <c r="L728" t="s">
        <v>25</v>
      </c>
      <c r="M728">
        <f>I728*J728*(1-K728/100)</f>
        <v>32400</v>
      </c>
      <c r="N728" t="str">
        <f>TEXT(B728,"yyyy-mm")</f>
        <v>2025-06</v>
      </c>
    </row>
    <row r="729" spans="1:14" x14ac:dyDescent="0.3">
      <c r="A729">
        <v>5442</v>
      </c>
      <c r="B729" s="1">
        <v>45826</v>
      </c>
      <c r="C729">
        <v>1045</v>
      </c>
      <c r="D729" t="s">
        <v>66</v>
      </c>
      <c r="E729" t="s">
        <v>33</v>
      </c>
      <c r="F729" t="s">
        <v>27</v>
      </c>
      <c r="G729" t="s">
        <v>24</v>
      </c>
      <c r="H729" t="s">
        <v>16</v>
      </c>
      <c r="I729">
        <v>3</v>
      </c>
      <c r="J729">
        <v>22000</v>
      </c>
      <c r="K729">
        <v>15</v>
      </c>
      <c r="L729" t="s">
        <v>20</v>
      </c>
      <c r="M729">
        <f>I729*J729*(1-K729/100)</f>
        <v>56100</v>
      </c>
      <c r="N729" t="str">
        <f>TEXT(B729,"yyyy-mm")</f>
        <v>2025-06</v>
      </c>
    </row>
    <row r="730" spans="1:14" x14ac:dyDescent="0.3">
      <c r="A730">
        <v>5744</v>
      </c>
      <c r="B730" s="1">
        <v>45936</v>
      </c>
      <c r="C730">
        <v>1045</v>
      </c>
      <c r="D730" t="s">
        <v>66</v>
      </c>
      <c r="E730" t="s">
        <v>33</v>
      </c>
      <c r="F730" t="s">
        <v>27</v>
      </c>
      <c r="G730" t="s">
        <v>36</v>
      </c>
      <c r="H730" t="s">
        <v>16</v>
      </c>
      <c r="I730">
        <v>3</v>
      </c>
      <c r="J730">
        <v>55000</v>
      </c>
      <c r="K730">
        <v>0</v>
      </c>
      <c r="L730" t="s">
        <v>43</v>
      </c>
      <c r="M730">
        <f>I730*J730*(1-K730/100)</f>
        <v>165000</v>
      </c>
      <c r="N730" t="str">
        <f>TEXT(B730,"yyyy-mm")</f>
        <v>2025-10</v>
      </c>
    </row>
    <row r="731" spans="1:14" x14ac:dyDescent="0.3">
      <c r="A731">
        <v>5872</v>
      </c>
      <c r="B731" s="1">
        <v>45978</v>
      </c>
      <c r="C731">
        <v>1045</v>
      </c>
      <c r="D731" t="s">
        <v>66</v>
      </c>
      <c r="E731" t="s">
        <v>33</v>
      </c>
      <c r="F731" t="s">
        <v>27</v>
      </c>
      <c r="G731" t="s">
        <v>24</v>
      </c>
      <c r="H731" t="s">
        <v>16</v>
      </c>
      <c r="I731">
        <v>3</v>
      </c>
      <c r="J731">
        <v>22000</v>
      </c>
      <c r="K731">
        <v>10</v>
      </c>
      <c r="L731" t="s">
        <v>25</v>
      </c>
      <c r="M731">
        <f>I731*J731*(1-K731/100)</f>
        <v>59400</v>
      </c>
      <c r="N731" t="str">
        <f>TEXT(B731,"yyyy-mm")</f>
        <v>2025-11</v>
      </c>
    </row>
    <row r="732" spans="1:14" x14ac:dyDescent="0.3">
      <c r="A732">
        <v>5743</v>
      </c>
      <c r="B732" s="1">
        <v>45936</v>
      </c>
      <c r="C732">
        <v>1045</v>
      </c>
      <c r="D732" t="s">
        <v>66</v>
      </c>
      <c r="E732" t="s">
        <v>33</v>
      </c>
      <c r="F732" t="s">
        <v>27</v>
      </c>
      <c r="G732" t="s">
        <v>30</v>
      </c>
      <c r="H732" t="s">
        <v>31</v>
      </c>
      <c r="I732">
        <v>2</v>
      </c>
      <c r="J732">
        <v>350</v>
      </c>
      <c r="K732">
        <v>15</v>
      </c>
      <c r="L732" t="s">
        <v>25</v>
      </c>
      <c r="M732">
        <f>I732*J732*(1-K732/100)</f>
        <v>595</v>
      </c>
      <c r="N732" t="str">
        <f>TEXT(B732,"yyyy-mm")</f>
        <v>2025-10</v>
      </c>
    </row>
    <row r="733" spans="1:14" x14ac:dyDescent="0.3">
      <c r="A733">
        <v>5815</v>
      </c>
      <c r="B733" s="1">
        <v>45960</v>
      </c>
      <c r="C733">
        <v>1045</v>
      </c>
      <c r="D733" t="s">
        <v>66</v>
      </c>
      <c r="E733" t="s">
        <v>33</v>
      </c>
      <c r="F733" t="s">
        <v>27</v>
      </c>
      <c r="G733" t="s">
        <v>42</v>
      </c>
      <c r="H733" t="s">
        <v>31</v>
      </c>
      <c r="I733">
        <v>2</v>
      </c>
      <c r="J733">
        <v>200</v>
      </c>
      <c r="K733">
        <v>10</v>
      </c>
      <c r="L733" t="s">
        <v>20</v>
      </c>
      <c r="M733">
        <f>I733*J733*(1-K733/100)</f>
        <v>360</v>
      </c>
      <c r="N733" t="str">
        <f>TEXT(B733,"yyyy-mm")</f>
        <v>2025-10</v>
      </c>
    </row>
    <row r="734" spans="1:14" x14ac:dyDescent="0.3">
      <c r="A734">
        <v>5094</v>
      </c>
      <c r="B734" s="1">
        <v>45692</v>
      </c>
      <c r="C734">
        <v>1045</v>
      </c>
      <c r="D734" t="s">
        <v>66</v>
      </c>
      <c r="E734" t="s">
        <v>33</v>
      </c>
      <c r="F734" t="s">
        <v>27</v>
      </c>
      <c r="G734" t="s">
        <v>24</v>
      </c>
      <c r="H734" t="s">
        <v>16</v>
      </c>
      <c r="I734">
        <v>1</v>
      </c>
      <c r="J734">
        <v>22000</v>
      </c>
      <c r="K734">
        <v>10</v>
      </c>
      <c r="L734" t="s">
        <v>20</v>
      </c>
      <c r="M734">
        <f>I734*J734*(1-K734/100)</f>
        <v>19800</v>
      </c>
      <c r="N734" t="str">
        <f>TEXT(B734,"yyyy-mm")</f>
        <v>2025-02</v>
      </c>
    </row>
    <row r="735" spans="1:14" x14ac:dyDescent="0.3">
      <c r="A735">
        <v>5213</v>
      </c>
      <c r="B735" s="1">
        <v>45731</v>
      </c>
      <c r="C735">
        <v>1045</v>
      </c>
      <c r="D735" t="s">
        <v>66</v>
      </c>
      <c r="E735" t="s">
        <v>33</v>
      </c>
      <c r="F735" t="s">
        <v>27</v>
      </c>
      <c r="G735" t="s">
        <v>30</v>
      </c>
      <c r="H735" t="s">
        <v>31</v>
      </c>
      <c r="I735">
        <v>1</v>
      </c>
      <c r="J735">
        <v>350</v>
      </c>
      <c r="K735">
        <v>0</v>
      </c>
      <c r="L735" t="s">
        <v>34</v>
      </c>
      <c r="M735">
        <f>I735*J735*(1-K735/100)</f>
        <v>350</v>
      </c>
      <c r="N735" t="str">
        <f>TEXT(B735,"yyyy-mm")</f>
        <v>2025-03</v>
      </c>
    </row>
    <row r="736" spans="1:14" x14ac:dyDescent="0.3">
      <c r="A736">
        <v>5561</v>
      </c>
      <c r="B736" s="1">
        <v>45869</v>
      </c>
      <c r="C736">
        <v>1045</v>
      </c>
      <c r="D736" t="s">
        <v>66</v>
      </c>
      <c r="E736" t="s">
        <v>33</v>
      </c>
      <c r="F736" t="s">
        <v>27</v>
      </c>
      <c r="G736" t="s">
        <v>40</v>
      </c>
      <c r="H736" t="s">
        <v>38</v>
      </c>
      <c r="I736">
        <v>1</v>
      </c>
      <c r="J736">
        <v>900</v>
      </c>
      <c r="K736">
        <v>0</v>
      </c>
      <c r="L736" t="s">
        <v>17</v>
      </c>
      <c r="M736">
        <f>I736*J736*(1-K736/100)</f>
        <v>900</v>
      </c>
      <c r="N736" t="str">
        <f>TEXT(B736,"yyyy-mm")</f>
        <v>2025-07</v>
      </c>
    </row>
    <row r="737" spans="1:14" x14ac:dyDescent="0.3">
      <c r="A737">
        <v>5666</v>
      </c>
      <c r="B737" s="1">
        <v>45908</v>
      </c>
      <c r="C737">
        <v>1045</v>
      </c>
      <c r="D737" t="s">
        <v>66</v>
      </c>
      <c r="E737" t="s">
        <v>87</v>
      </c>
      <c r="F737" t="s">
        <v>27</v>
      </c>
      <c r="G737" t="s">
        <v>30</v>
      </c>
      <c r="H737" t="s">
        <v>31</v>
      </c>
      <c r="I737">
        <v>1</v>
      </c>
      <c r="J737">
        <v>350</v>
      </c>
      <c r="K737">
        <v>0</v>
      </c>
      <c r="L737" t="s">
        <v>34</v>
      </c>
      <c r="M737">
        <f>I737*J737*(1-K737/100)</f>
        <v>350</v>
      </c>
      <c r="N737" t="str">
        <f>TEXT(B737,"yyyy-mm")</f>
        <v>2025-09</v>
      </c>
    </row>
    <row r="738" spans="1:14" x14ac:dyDescent="0.3">
      <c r="A738">
        <v>5825</v>
      </c>
      <c r="B738" s="1">
        <v>45963</v>
      </c>
      <c r="C738">
        <v>1045</v>
      </c>
      <c r="D738" t="s">
        <v>66</v>
      </c>
      <c r="E738" t="s">
        <v>33</v>
      </c>
      <c r="F738" t="s">
        <v>27</v>
      </c>
      <c r="G738" t="s">
        <v>15</v>
      </c>
      <c r="H738" t="s">
        <v>16</v>
      </c>
      <c r="I738">
        <v>1</v>
      </c>
      <c r="J738">
        <v>18000</v>
      </c>
      <c r="K738">
        <v>5</v>
      </c>
      <c r="L738" t="s">
        <v>17</v>
      </c>
      <c r="M738">
        <f>I738*J738*(1-K738/100)</f>
        <v>17100</v>
      </c>
      <c r="N738" t="str">
        <f>TEXT(B738,"yyyy-mm")</f>
        <v>2025-11</v>
      </c>
    </row>
    <row r="739" spans="1:14" x14ac:dyDescent="0.3">
      <c r="A739">
        <v>5374</v>
      </c>
      <c r="B739" s="1">
        <v>45801</v>
      </c>
      <c r="C739">
        <v>1046</v>
      </c>
      <c r="D739" t="s">
        <v>12</v>
      </c>
      <c r="E739" t="s">
        <v>13</v>
      </c>
      <c r="F739" t="s">
        <v>14</v>
      </c>
      <c r="G739" t="s">
        <v>40</v>
      </c>
      <c r="H739" t="s">
        <v>38</v>
      </c>
      <c r="I739">
        <v>5</v>
      </c>
      <c r="J739">
        <v>900</v>
      </c>
      <c r="K739">
        <v>5</v>
      </c>
      <c r="L739" t="s">
        <v>17</v>
      </c>
      <c r="M739">
        <f>I739*J739*(1-K739/100)</f>
        <v>4275</v>
      </c>
      <c r="N739" t="str">
        <f>TEXT(B739,"yyyy-mm")</f>
        <v>2025-05</v>
      </c>
    </row>
    <row r="740" spans="1:14" x14ac:dyDescent="0.3">
      <c r="A740">
        <v>5799</v>
      </c>
      <c r="B740" s="1">
        <v>45953</v>
      </c>
      <c r="C740">
        <v>1046</v>
      </c>
      <c r="D740" t="s">
        <v>12</v>
      </c>
      <c r="E740" t="s">
        <v>13</v>
      </c>
      <c r="F740" t="s">
        <v>14</v>
      </c>
      <c r="G740" t="s">
        <v>36</v>
      </c>
      <c r="H740" t="s">
        <v>16</v>
      </c>
      <c r="I740">
        <v>5</v>
      </c>
      <c r="J740">
        <v>55000</v>
      </c>
      <c r="K740">
        <v>0</v>
      </c>
      <c r="L740" t="s">
        <v>43</v>
      </c>
      <c r="M740">
        <f>I740*J740*(1-K740/100)</f>
        <v>275000</v>
      </c>
      <c r="N740" t="str">
        <f>TEXT(B740,"yyyy-mm")</f>
        <v>2025-10</v>
      </c>
    </row>
    <row r="741" spans="1:14" x14ac:dyDescent="0.3">
      <c r="A741">
        <v>5695</v>
      </c>
      <c r="B741" s="1">
        <v>45921</v>
      </c>
      <c r="C741">
        <v>1046</v>
      </c>
      <c r="D741" t="s">
        <v>12</v>
      </c>
      <c r="E741" t="s">
        <v>13</v>
      </c>
      <c r="F741" t="s">
        <v>14</v>
      </c>
      <c r="G741" t="s">
        <v>15</v>
      </c>
      <c r="H741" t="s">
        <v>16</v>
      </c>
      <c r="I741">
        <v>4</v>
      </c>
      <c r="J741">
        <v>18000</v>
      </c>
      <c r="K741">
        <v>0</v>
      </c>
      <c r="L741" t="s">
        <v>25</v>
      </c>
      <c r="M741">
        <f>I741*J741*(1-K741/100)</f>
        <v>72000</v>
      </c>
      <c r="N741" t="str">
        <f>TEXT(B741,"yyyy-mm")</f>
        <v>2025-09</v>
      </c>
    </row>
    <row r="742" spans="1:14" x14ac:dyDescent="0.3">
      <c r="A742">
        <v>5807</v>
      </c>
      <c r="B742" s="1">
        <v>45958</v>
      </c>
      <c r="C742">
        <v>1046</v>
      </c>
      <c r="D742" t="s">
        <v>12</v>
      </c>
      <c r="E742" t="s">
        <v>13</v>
      </c>
      <c r="F742" t="s">
        <v>14</v>
      </c>
      <c r="G742" t="s">
        <v>30</v>
      </c>
      <c r="H742" t="s">
        <v>31</v>
      </c>
      <c r="I742">
        <v>4</v>
      </c>
      <c r="J742">
        <v>350</v>
      </c>
      <c r="K742">
        <v>15</v>
      </c>
      <c r="L742" t="s">
        <v>34</v>
      </c>
      <c r="M742">
        <f>I742*J742*(1-K742/100)</f>
        <v>1190</v>
      </c>
      <c r="N742" t="str">
        <f>TEXT(B742,"yyyy-mm")</f>
        <v>2025-10</v>
      </c>
    </row>
    <row r="743" spans="1:14" x14ac:dyDescent="0.3">
      <c r="A743">
        <v>5981</v>
      </c>
      <c r="B743" s="1">
        <v>46015</v>
      </c>
      <c r="C743">
        <v>1046</v>
      </c>
      <c r="D743" t="s">
        <v>12</v>
      </c>
      <c r="E743" t="s">
        <v>13</v>
      </c>
      <c r="F743" t="s">
        <v>14</v>
      </c>
      <c r="G743" t="s">
        <v>55</v>
      </c>
      <c r="H743" t="s">
        <v>16</v>
      </c>
      <c r="I743">
        <v>4</v>
      </c>
      <c r="J743">
        <v>2500</v>
      </c>
      <c r="K743">
        <v>0</v>
      </c>
      <c r="L743" t="s">
        <v>17</v>
      </c>
      <c r="M743">
        <f>I743*J743*(1-K743/100)</f>
        <v>10000</v>
      </c>
      <c r="N743" t="str">
        <f>TEXT(B743,"yyyy-mm")</f>
        <v>2025-12</v>
      </c>
    </row>
    <row r="744" spans="1:14" x14ac:dyDescent="0.3">
      <c r="A744">
        <v>5490</v>
      </c>
      <c r="B744" s="1">
        <v>45843</v>
      </c>
      <c r="C744">
        <v>1046</v>
      </c>
      <c r="D744" t="s">
        <v>12</v>
      </c>
      <c r="E744" t="s">
        <v>13</v>
      </c>
      <c r="F744" t="s">
        <v>14</v>
      </c>
      <c r="G744" t="s">
        <v>42</v>
      </c>
      <c r="H744" t="s">
        <v>31</v>
      </c>
      <c r="I744">
        <v>3</v>
      </c>
      <c r="J744">
        <v>200</v>
      </c>
      <c r="K744">
        <v>0</v>
      </c>
      <c r="L744" t="s">
        <v>25</v>
      </c>
      <c r="M744">
        <f>I744*J744*(1-K744/100)</f>
        <v>600</v>
      </c>
      <c r="N744" t="str">
        <f>TEXT(B744,"yyyy-mm")</f>
        <v>2025-07</v>
      </c>
    </row>
    <row r="745" spans="1:14" x14ac:dyDescent="0.3">
      <c r="A745">
        <v>5684</v>
      </c>
      <c r="B745" s="1">
        <v>45916</v>
      </c>
      <c r="C745">
        <v>1046</v>
      </c>
      <c r="D745" t="s">
        <v>12</v>
      </c>
      <c r="E745" t="s">
        <v>13</v>
      </c>
      <c r="F745" t="s">
        <v>14</v>
      </c>
      <c r="G745" t="s">
        <v>15</v>
      </c>
      <c r="H745" t="s">
        <v>16</v>
      </c>
      <c r="I745">
        <v>3</v>
      </c>
      <c r="J745">
        <v>18000</v>
      </c>
      <c r="K745">
        <v>0</v>
      </c>
      <c r="L745" t="s">
        <v>34</v>
      </c>
      <c r="M745">
        <f>I745*J745*(1-K745/100)</f>
        <v>54000</v>
      </c>
      <c r="N745" t="str">
        <f>TEXT(B745,"yyyy-mm")</f>
        <v>2025-09</v>
      </c>
    </row>
    <row r="746" spans="1:14" x14ac:dyDescent="0.3">
      <c r="A746">
        <v>5001</v>
      </c>
      <c r="B746" s="1">
        <v>45659</v>
      </c>
      <c r="C746">
        <v>1046</v>
      </c>
      <c r="D746" t="s">
        <v>12</v>
      </c>
      <c r="E746" t="s">
        <v>13</v>
      </c>
      <c r="F746" t="s">
        <v>14</v>
      </c>
      <c r="G746" t="s">
        <v>15</v>
      </c>
      <c r="H746" t="s">
        <v>16</v>
      </c>
      <c r="I746">
        <v>2</v>
      </c>
      <c r="J746">
        <v>18000</v>
      </c>
      <c r="K746">
        <v>15</v>
      </c>
      <c r="L746" t="s">
        <v>17</v>
      </c>
      <c r="M746">
        <f>I746*J746*(1-K746/100)</f>
        <v>30600</v>
      </c>
      <c r="N746" t="str">
        <f>TEXT(B746,"yyyy-mm")</f>
        <v>2025-01</v>
      </c>
    </row>
    <row r="747" spans="1:14" x14ac:dyDescent="0.3">
      <c r="A747">
        <v>5367</v>
      </c>
      <c r="B747" s="1">
        <v>45797</v>
      </c>
      <c r="C747">
        <v>1046</v>
      </c>
      <c r="D747" t="s">
        <v>12</v>
      </c>
      <c r="E747" t="s">
        <v>13</v>
      </c>
      <c r="F747" t="s">
        <v>14</v>
      </c>
      <c r="G747" t="s">
        <v>24</v>
      </c>
      <c r="H747" t="s">
        <v>16</v>
      </c>
      <c r="I747">
        <v>2</v>
      </c>
      <c r="J747">
        <v>22000</v>
      </c>
      <c r="K747">
        <v>15</v>
      </c>
      <c r="L747" t="s">
        <v>34</v>
      </c>
      <c r="M747">
        <f>I747*J747*(1-K747/100)</f>
        <v>37400</v>
      </c>
      <c r="N747" t="str">
        <f>TEXT(B747,"yyyy-mm")</f>
        <v>2025-05</v>
      </c>
    </row>
    <row r="748" spans="1:14" x14ac:dyDescent="0.3">
      <c r="A748">
        <v>5568</v>
      </c>
      <c r="B748" s="1">
        <v>45872</v>
      </c>
      <c r="C748">
        <v>1046</v>
      </c>
      <c r="D748" t="s">
        <v>12</v>
      </c>
      <c r="E748" t="s">
        <v>13</v>
      </c>
      <c r="F748" t="s">
        <v>14</v>
      </c>
      <c r="G748" t="s">
        <v>30</v>
      </c>
      <c r="H748" t="s">
        <v>31</v>
      </c>
      <c r="I748">
        <v>2</v>
      </c>
      <c r="J748">
        <v>350</v>
      </c>
      <c r="K748">
        <v>0</v>
      </c>
      <c r="L748" t="s">
        <v>43</v>
      </c>
      <c r="M748">
        <f>I748*J748*(1-K748/100)</f>
        <v>700</v>
      </c>
      <c r="N748" t="str">
        <f>TEXT(B748,"yyyy-mm")</f>
        <v>2025-08</v>
      </c>
    </row>
    <row r="749" spans="1:14" x14ac:dyDescent="0.3">
      <c r="A749">
        <v>5749</v>
      </c>
      <c r="B749" s="1">
        <v>45938</v>
      </c>
      <c r="C749">
        <v>1046</v>
      </c>
      <c r="D749" t="s">
        <v>12</v>
      </c>
      <c r="E749" t="s">
        <v>13</v>
      </c>
      <c r="F749" t="s">
        <v>14</v>
      </c>
      <c r="G749" t="s">
        <v>24</v>
      </c>
      <c r="H749" t="s">
        <v>16</v>
      </c>
      <c r="I749">
        <v>2</v>
      </c>
      <c r="J749">
        <v>22000</v>
      </c>
      <c r="K749">
        <v>5</v>
      </c>
      <c r="L749" t="s">
        <v>17</v>
      </c>
      <c r="M749">
        <f>I749*J749*(1-K749/100)</f>
        <v>41800</v>
      </c>
      <c r="N749" t="str">
        <f>TEXT(B749,"yyyy-mm")</f>
        <v>2025-10</v>
      </c>
    </row>
    <row r="750" spans="1:14" x14ac:dyDescent="0.3">
      <c r="A750">
        <v>5874</v>
      </c>
      <c r="B750" s="1">
        <v>45979</v>
      </c>
      <c r="C750">
        <v>1046</v>
      </c>
      <c r="D750" t="s">
        <v>12</v>
      </c>
      <c r="E750" t="s">
        <v>13</v>
      </c>
      <c r="F750" t="s">
        <v>14</v>
      </c>
      <c r="G750" t="s">
        <v>55</v>
      </c>
      <c r="H750" t="s">
        <v>16</v>
      </c>
      <c r="I750">
        <v>2</v>
      </c>
      <c r="J750">
        <v>2500</v>
      </c>
      <c r="K750">
        <v>0</v>
      </c>
      <c r="L750" t="s">
        <v>34</v>
      </c>
      <c r="M750">
        <f>I750*J750*(1-K750/100)</f>
        <v>5000</v>
      </c>
      <c r="N750" t="str">
        <f>TEXT(B750,"yyyy-mm")</f>
        <v>2025-11</v>
      </c>
    </row>
    <row r="751" spans="1:14" x14ac:dyDescent="0.3">
      <c r="A751">
        <v>5371</v>
      </c>
      <c r="B751" s="1">
        <v>45799</v>
      </c>
      <c r="C751">
        <v>1046</v>
      </c>
      <c r="D751" t="s">
        <v>12</v>
      </c>
      <c r="E751" t="s">
        <v>13</v>
      </c>
      <c r="F751" t="s">
        <v>14</v>
      </c>
      <c r="G751" t="s">
        <v>55</v>
      </c>
      <c r="H751" t="s">
        <v>16</v>
      </c>
      <c r="I751">
        <v>1</v>
      </c>
      <c r="J751">
        <v>2500</v>
      </c>
      <c r="K751">
        <v>0</v>
      </c>
      <c r="L751" t="s">
        <v>43</v>
      </c>
      <c r="M751">
        <f>I751*J751*(1-K751/100)</f>
        <v>2500</v>
      </c>
      <c r="N751" t="str">
        <f>TEXT(B751,"yyyy-mm")</f>
        <v>2025-05</v>
      </c>
    </row>
    <row r="752" spans="1:14" x14ac:dyDescent="0.3">
      <c r="A752">
        <v>5876</v>
      </c>
      <c r="B752" s="1">
        <v>45981</v>
      </c>
      <c r="C752">
        <v>1046</v>
      </c>
      <c r="D752" t="s">
        <v>12</v>
      </c>
      <c r="E752" t="s">
        <v>13</v>
      </c>
      <c r="F752" t="s">
        <v>14</v>
      </c>
      <c r="G752" t="s">
        <v>52</v>
      </c>
      <c r="H752" t="s">
        <v>16</v>
      </c>
      <c r="I752">
        <v>1</v>
      </c>
      <c r="J752">
        <v>6000</v>
      </c>
      <c r="K752">
        <v>0</v>
      </c>
      <c r="L752" t="s">
        <v>17</v>
      </c>
      <c r="M752">
        <f>I752*J752*(1-K752/100)</f>
        <v>6000</v>
      </c>
      <c r="N752" t="str">
        <f>TEXT(B752,"yyyy-mm")</f>
        <v>2025-11</v>
      </c>
    </row>
    <row r="753" spans="1:14" x14ac:dyDescent="0.3">
      <c r="A753">
        <v>5169</v>
      </c>
      <c r="B753" s="1">
        <v>45714</v>
      </c>
      <c r="C753">
        <v>1047</v>
      </c>
      <c r="D753" t="s">
        <v>44</v>
      </c>
      <c r="E753" t="s">
        <v>33</v>
      </c>
      <c r="F753" t="s">
        <v>23</v>
      </c>
      <c r="G753" t="s">
        <v>42</v>
      </c>
      <c r="H753" t="s">
        <v>31</v>
      </c>
      <c r="I753">
        <v>5</v>
      </c>
      <c r="J753">
        <v>200</v>
      </c>
      <c r="K753">
        <v>0</v>
      </c>
      <c r="L753" t="s">
        <v>25</v>
      </c>
      <c r="M753">
        <f>I753*J753*(1-K753/100)</f>
        <v>1000</v>
      </c>
      <c r="N753" t="str">
        <f>TEXT(B753,"yyyy-mm")</f>
        <v>2025-02</v>
      </c>
    </row>
    <row r="754" spans="1:14" x14ac:dyDescent="0.3">
      <c r="A754">
        <v>5258</v>
      </c>
      <c r="B754" s="1">
        <v>45751</v>
      </c>
      <c r="C754">
        <v>1047</v>
      </c>
      <c r="D754" t="s">
        <v>44</v>
      </c>
      <c r="E754" t="s">
        <v>33</v>
      </c>
      <c r="F754" t="s">
        <v>23</v>
      </c>
      <c r="G754" t="s">
        <v>24</v>
      </c>
      <c r="H754" t="s">
        <v>16</v>
      </c>
      <c r="I754">
        <v>5</v>
      </c>
      <c r="J754">
        <v>22000</v>
      </c>
      <c r="K754">
        <v>0</v>
      </c>
      <c r="L754" t="s">
        <v>17</v>
      </c>
      <c r="M754">
        <f>I754*J754*(1-K754/100)</f>
        <v>110000</v>
      </c>
      <c r="N754" t="str">
        <f>TEXT(B754,"yyyy-mm")</f>
        <v>2025-04</v>
      </c>
    </row>
    <row r="755" spans="1:14" x14ac:dyDescent="0.3">
      <c r="A755">
        <v>5431</v>
      </c>
      <c r="B755" s="1">
        <v>45823</v>
      </c>
      <c r="C755">
        <v>1047</v>
      </c>
      <c r="D755" t="s">
        <v>44</v>
      </c>
      <c r="E755" t="s">
        <v>33</v>
      </c>
      <c r="F755" t="s">
        <v>23</v>
      </c>
      <c r="G755" t="s">
        <v>65</v>
      </c>
      <c r="H755" t="s">
        <v>16</v>
      </c>
      <c r="I755">
        <v>5</v>
      </c>
      <c r="J755">
        <v>12000</v>
      </c>
      <c r="K755">
        <v>0</v>
      </c>
      <c r="L755" t="s">
        <v>34</v>
      </c>
      <c r="M755">
        <f>I755*J755*(1-K755/100)</f>
        <v>60000</v>
      </c>
      <c r="N755" t="str">
        <f>TEXT(B755,"yyyy-mm")</f>
        <v>2025-06</v>
      </c>
    </row>
    <row r="756" spans="1:14" x14ac:dyDescent="0.3">
      <c r="A756">
        <v>5821</v>
      </c>
      <c r="B756" s="1">
        <v>45962</v>
      </c>
      <c r="C756">
        <v>1047</v>
      </c>
      <c r="D756" t="s">
        <v>44</v>
      </c>
      <c r="E756" t="s">
        <v>33</v>
      </c>
      <c r="F756" t="s">
        <v>23</v>
      </c>
      <c r="G756" t="s">
        <v>55</v>
      </c>
      <c r="H756" t="s">
        <v>16</v>
      </c>
      <c r="I756">
        <v>5</v>
      </c>
      <c r="J756">
        <v>2500</v>
      </c>
      <c r="K756">
        <v>0</v>
      </c>
      <c r="L756" t="s">
        <v>34</v>
      </c>
      <c r="M756">
        <f>I756*J756*(1-K756/100)</f>
        <v>12500</v>
      </c>
      <c r="N756" t="str">
        <f>TEXT(B756,"yyyy-mm")</f>
        <v>2025-11</v>
      </c>
    </row>
    <row r="757" spans="1:14" x14ac:dyDescent="0.3">
      <c r="A757">
        <v>5039</v>
      </c>
      <c r="B757" s="1">
        <v>45671</v>
      </c>
      <c r="C757">
        <v>1047</v>
      </c>
      <c r="D757" t="s">
        <v>44</v>
      </c>
      <c r="E757" t="s">
        <v>33</v>
      </c>
      <c r="F757" t="s">
        <v>23</v>
      </c>
      <c r="G757" t="s">
        <v>15</v>
      </c>
      <c r="H757" t="s">
        <v>16</v>
      </c>
      <c r="I757">
        <v>4</v>
      </c>
      <c r="J757">
        <v>18000</v>
      </c>
      <c r="K757">
        <v>0</v>
      </c>
      <c r="L757" t="s">
        <v>43</v>
      </c>
      <c r="M757">
        <f>I757*J757*(1-K757/100)</f>
        <v>72000</v>
      </c>
      <c r="N757" t="str">
        <f>TEXT(B757,"yyyy-mm")</f>
        <v>2025-01</v>
      </c>
    </row>
    <row r="758" spans="1:14" x14ac:dyDescent="0.3">
      <c r="A758">
        <v>5570</v>
      </c>
      <c r="B758" s="1">
        <v>45873</v>
      </c>
      <c r="C758">
        <v>1047</v>
      </c>
      <c r="D758" t="s">
        <v>44</v>
      </c>
      <c r="E758" t="s">
        <v>33</v>
      </c>
      <c r="F758" t="s">
        <v>23</v>
      </c>
      <c r="G758" t="s">
        <v>40</v>
      </c>
      <c r="H758" t="s">
        <v>38</v>
      </c>
      <c r="I758">
        <v>4</v>
      </c>
      <c r="J758">
        <v>900</v>
      </c>
      <c r="K758">
        <v>0</v>
      </c>
      <c r="L758" t="s">
        <v>34</v>
      </c>
      <c r="M758">
        <f>I758*J758*(1-K758/100)</f>
        <v>3600</v>
      </c>
      <c r="N758" t="str">
        <f>TEXT(B758,"yyyy-mm")</f>
        <v>2025-08</v>
      </c>
    </row>
    <row r="759" spans="1:14" x14ac:dyDescent="0.3">
      <c r="A759">
        <v>5614</v>
      </c>
      <c r="B759" s="1">
        <v>45889</v>
      </c>
      <c r="C759">
        <v>1047</v>
      </c>
      <c r="D759" t="s">
        <v>44</v>
      </c>
      <c r="E759" t="s">
        <v>33</v>
      </c>
      <c r="F759" t="s">
        <v>23</v>
      </c>
      <c r="G759" t="s">
        <v>24</v>
      </c>
      <c r="H759" t="s">
        <v>16</v>
      </c>
      <c r="I759">
        <v>4</v>
      </c>
      <c r="J759">
        <v>22000</v>
      </c>
      <c r="K759">
        <v>0</v>
      </c>
      <c r="L759" t="s">
        <v>25</v>
      </c>
      <c r="M759">
        <f>I759*J759*(1-K759/100)</f>
        <v>88000</v>
      </c>
      <c r="N759" t="str">
        <f>TEXT(B759,"yyyy-mm")</f>
        <v>2025-08</v>
      </c>
    </row>
    <row r="760" spans="1:14" x14ac:dyDescent="0.3">
      <c r="A760">
        <v>5426</v>
      </c>
      <c r="B760" s="1">
        <v>45820</v>
      </c>
      <c r="C760">
        <v>1047</v>
      </c>
      <c r="D760" t="s">
        <v>44</v>
      </c>
      <c r="E760" t="s">
        <v>33</v>
      </c>
      <c r="F760" t="s">
        <v>23</v>
      </c>
      <c r="G760" t="s">
        <v>55</v>
      </c>
      <c r="H760" t="s">
        <v>16</v>
      </c>
      <c r="I760">
        <v>3</v>
      </c>
      <c r="J760">
        <v>2500</v>
      </c>
      <c r="K760">
        <v>15</v>
      </c>
      <c r="L760" t="s">
        <v>17</v>
      </c>
      <c r="M760">
        <f>I760*J760*(1-K760/100)</f>
        <v>6375</v>
      </c>
      <c r="N760" t="str">
        <f>TEXT(B760,"yyyy-mm")</f>
        <v>2025-06</v>
      </c>
    </row>
    <row r="761" spans="1:14" x14ac:dyDescent="0.3">
      <c r="A761">
        <v>5525</v>
      </c>
      <c r="B761" s="1">
        <v>45854</v>
      </c>
      <c r="C761">
        <v>1047</v>
      </c>
      <c r="D761" t="s">
        <v>44</v>
      </c>
      <c r="E761" t="s">
        <v>33</v>
      </c>
      <c r="F761" t="s">
        <v>23</v>
      </c>
      <c r="G761" t="s">
        <v>40</v>
      </c>
      <c r="H761" t="s">
        <v>38</v>
      </c>
      <c r="I761">
        <v>3</v>
      </c>
      <c r="J761">
        <v>900</v>
      </c>
      <c r="K761">
        <v>5</v>
      </c>
      <c r="L761" t="s">
        <v>25</v>
      </c>
      <c r="M761">
        <f>I761*J761*(1-K761/100)</f>
        <v>2565</v>
      </c>
      <c r="N761" t="str">
        <f>TEXT(B761,"yyyy-mm")</f>
        <v>2025-07</v>
      </c>
    </row>
    <row r="762" spans="1:14" x14ac:dyDescent="0.3">
      <c r="A762">
        <v>5013</v>
      </c>
      <c r="B762" s="1">
        <v>45661</v>
      </c>
      <c r="C762">
        <v>1047</v>
      </c>
      <c r="D762" t="s">
        <v>44</v>
      </c>
      <c r="E762" t="s">
        <v>33</v>
      </c>
      <c r="F762" t="s">
        <v>23</v>
      </c>
      <c r="G762" t="s">
        <v>40</v>
      </c>
      <c r="H762" t="s">
        <v>38</v>
      </c>
      <c r="I762">
        <v>2</v>
      </c>
      <c r="J762">
        <v>900</v>
      </c>
      <c r="K762">
        <v>0</v>
      </c>
      <c r="L762" t="s">
        <v>34</v>
      </c>
      <c r="M762">
        <f>I762*J762*(1-K762/100)</f>
        <v>1800</v>
      </c>
      <c r="N762" t="str">
        <f>TEXT(B762,"yyyy-mm")</f>
        <v>2025-01</v>
      </c>
    </row>
    <row r="763" spans="1:14" x14ac:dyDescent="0.3">
      <c r="A763">
        <v>5141</v>
      </c>
      <c r="B763" s="1">
        <v>45706</v>
      </c>
      <c r="C763">
        <v>1047</v>
      </c>
      <c r="D763" t="s">
        <v>44</v>
      </c>
      <c r="E763" t="s">
        <v>33</v>
      </c>
      <c r="F763" t="s">
        <v>23</v>
      </c>
      <c r="G763" t="s">
        <v>57</v>
      </c>
      <c r="H763" t="s">
        <v>38</v>
      </c>
      <c r="I763">
        <v>2</v>
      </c>
      <c r="J763">
        <v>16000</v>
      </c>
      <c r="K763">
        <v>10</v>
      </c>
      <c r="L763" t="s">
        <v>43</v>
      </c>
      <c r="M763">
        <f>I763*J763*(1-K763/100)</f>
        <v>28800</v>
      </c>
      <c r="N763" t="str">
        <f>TEXT(B763,"yyyy-mm")</f>
        <v>2025-02</v>
      </c>
    </row>
    <row r="764" spans="1:14" x14ac:dyDescent="0.3">
      <c r="A764">
        <v>5198</v>
      </c>
      <c r="B764" s="1">
        <v>45724</v>
      </c>
      <c r="C764">
        <v>1047</v>
      </c>
      <c r="D764" t="s">
        <v>44</v>
      </c>
      <c r="E764" t="s">
        <v>33</v>
      </c>
      <c r="F764" t="s">
        <v>23</v>
      </c>
      <c r="G764" t="s">
        <v>52</v>
      </c>
      <c r="H764" t="s">
        <v>16</v>
      </c>
      <c r="I764">
        <v>2</v>
      </c>
      <c r="J764">
        <v>6000</v>
      </c>
      <c r="K764">
        <v>0</v>
      </c>
      <c r="L764" t="s">
        <v>20</v>
      </c>
      <c r="M764">
        <f>I764*J764*(1-K764/100)</f>
        <v>12000</v>
      </c>
      <c r="N764" t="str">
        <f>TEXT(B764,"yyyy-mm")</f>
        <v>2025-03</v>
      </c>
    </row>
    <row r="765" spans="1:14" x14ac:dyDescent="0.3">
      <c r="A765">
        <v>5475</v>
      </c>
      <c r="B765" s="1">
        <v>45840</v>
      </c>
      <c r="C765">
        <v>1047</v>
      </c>
      <c r="D765" t="s">
        <v>44</v>
      </c>
      <c r="E765" t="s">
        <v>33</v>
      </c>
      <c r="F765" t="s">
        <v>23</v>
      </c>
      <c r="G765" t="s">
        <v>52</v>
      </c>
      <c r="H765" t="s">
        <v>16</v>
      </c>
      <c r="I765">
        <v>2</v>
      </c>
      <c r="J765">
        <v>6000</v>
      </c>
      <c r="K765">
        <v>0</v>
      </c>
      <c r="L765" t="s">
        <v>43</v>
      </c>
      <c r="M765">
        <f>I765*J765*(1-K765/100)</f>
        <v>12000</v>
      </c>
      <c r="N765" t="str">
        <f>TEXT(B765,"yyyy-mm")</f>
        <v>2025-07</v>
      </c>
    </row>
    <row r="766" spans="1:14" x14ac:dyDescent="0.3">
      <c r="A766">
        <v>5311</v>
      </c>
      <c r="B766" s="1">
        <v>45772</v>
      </c>
      <c r="C766">
        <v>1047</v>
      </c>
      <c r="D766" t="s">
        <v>44</v>
      </c>
      <c r="E766" t="s">
        <v>33</v>
      </c>
      <c r="F766" t="s">
        <v>23</v>
      </c>
      <c r="G766" t="s">
        <v>40</v>
      </c>
      <c r="H766" t="s">
        <v>38</v>
      </c>
      <c r="I766">
        <v>1</v>
      </c>
      <c r="J766">
        <v>900</v>
      </c>
      <c r="K766">
        <v>10</v>
      </c>
      <c r="L766" t="s">
        <v>43</v>
      </c>
      <c r="M766">
        <f>I766*J766*(1-K766/100)</f>
        <v>810</v>
      </c>
      <c r="N766" t="str">
        <f>TEXT(B766,"yyyy-mm")</f>
        <v>2025-04</v>
      </c>
    </row>
    <row r="767" spans="1:14" x14ac:dyDescent="0.3">
      <c r="A767">
        <v>5391</v>
      </c>
      <c r="B767" s="1">
        <v>45809</v>
      </c>
      <c r="C767">
        <v>1047</v>
      </c>
      <c r="D767" t="s">
        <v>44</v>
      </c>
      <c r="E767" t="s">
        <v>33</v>
      </c>
      <c r="F767" t="s">
        <v>23</v>
      </c>
      <c r="G767" t="s">
        <v>40</v>
      </c>
      <c r="H767" t="s">
        <v>38</v>
      </c>
      <c r="I767">
        <v>1</v>
      </c>
      <c r="J767">
        <v>900</v>
      </c>
      <c r="K767">
        <v>0</v>
      </c>
      <c r="L767" t="s">
        <v>25</v>
      </c>
      <c r="M767">
        <f>I767*J767*(1-K767/100)</f>
        <v>900</v>
      </c>
      <c r="N767" t="str">
        <f>TEXT(B767,"yyyy-mm")</f>
        <v>2025-06</v>
      </c>
    </row>
    <row r="768" spans="1:14" x14ac:dyDescent="0.3">
      <c r="A768">
        <v>5796</v>
      </c>
      <c r="B768" s="1">
        <v>45953</v>
      </c>
      <c r="C768">
        <v>1047</v>
      </c>
      <c r="D768" t="s">
        <v>44</v>
      </c>
      <c r="E768" t="s">
        <v>33</v>
      </c>
      <c r="F768" t="s">
        <v>23</v>
      </c>
      <c r="G768" t="s">
        <v>65</v>
      </c>
      <c r="H768" t="s">
        <v>16</v>
      </c>
      <c r="I768">
        <v>1</v>
      </c>
      <c r="J768">
        <v>12000</v>
      </c>
      <c r="K768">
        <v>0</v>
      </c>
      <c r="L768" t="s">
        <v>20</v>
      </c>
      <c r="M768">
        <f>I768*J768*(1-K768/100)</f>
        <v>12000</v>
      </c>
      <c r="N768" t="str">
        <f>TEXT(B768,"yyyy-mm")</f>
        <v>2025-10</v>
      </c>
    </row>
    <row r="769" spans="1:14" x14ac:dyDescent="0.3">
      <c r="A769">
        <v>5912</v>
      </c>
      <c r="B769" s="1">
        <v>45995</v>
      </c>
      <c r="C769">
        <v>1047</v>
      </c>
      <c r="D769" t="s">
        <v>44</v>
      </c>
      <c r="E769" t="s">
        <v>33</v>
      </c>
      <c r="F769" t="s">
        <v>23</v>
      </c>
      <c r="G769" t="s">
        <v>55</v>
      </c>
      <c r="H769" t="s">
        <v>16</v>
      </c>
      <c r="I769">
        <v>1</v>
      </c>
      <c r="J769">
        <v>2500</v>
      </c>
      <c r="K769">
        <v>0</v>
      </c>
      <c r="L769" t="s">
        <v>43</v>
      </c>
      <c r="M769">
        <f>I769*J769*(1-K769/100)</f>
        <v>2500</v>
      </c>
      <c r="N769" t="str">
        <f>TEXT(B769,"yyyy-mm")</f>
        <v>2025-12</v>
      </c>
    </row>
    <row r="770" spans="1:14" x14ac:dyDescent="0.3">
      <c r="A770">
        <v>5130</v>
      </c>
      <c r="B770" s="1">
        <v>45702</v>
      </c>
      <c r="C770">
        <v>1048</v>
      </c>
      <c r="D770" t="s">
        <v>81</v>
      </c>
      <c r="E770" t="s">
        <v>29</v>
      </c>
      <c r="F770" t="s">
        <v>14</v>
      </c>
      <c r="G770" t="s">
        <v>30</v>
      </c>
      <c r="H770" t="s">
        <v>31</v>
      </c>
      <c r="I770">
        <v>5</v>
      </c>
      <c r="J770">
        <v>350</v>
      </c>
      <c r="K770">
        <v>0</v>
      </c>
      <c r="L770" t="s">
        <v>25</v>
      </c>
      <c r="M770">
        <f>I770*J770*(1-K770/100)</f>
        <v>1750</v>
      </c>
      <c r="N770" t="str">
        <f>TEXT(B770,"yyyy-mm")</f>
        <v>2025-02</v>
      </c>
    </row>
    <row r="771" spans="1:14" x14ac:dyDescent="0.3">
      <c r="A771">
        <v>5936</v>
      </c>
      <c r="B771" s="1">
        <v>46003</v>
      </c>
      <c r="C771">
        <v>1048</v>
      </c>
      <c r="D771" t="s">
        <v>81</v>
      </c>
      <c r="E771" t="s">
        <v>29</v>
      </c>
      <c r="F771" t="s">
        <v>14</v>
      </c>
      <c r="G771" t="s">
        <v>55</v>
      </c>
      <c r="H771" t="s">
        <v>16</v>
      </c>
      <c r="I771">
        <v>5</v>
      </c>
      <c r="J771">
        <v>2500</v>
      </c>
      <c r="K771">
        <v>10</v>
      </c>
      <c r="L771" t="s">
        <v>25</v>
      </c>
      <c r="M771">
        <f>I771*J771*(1-K771/100)</f>
        <v>11250</v>
      </c>
      <c r="N771" t="str">
        <f>TEXT(B771,"yyyy-mm")</f>
        <v>2025-12</v>
      </c>
    </row>
    <row r="772" spans="1:14" x14ac:dyDescent="0.3">
      <c r="A772">
        <v>5114</v>
      </c>
      <c r="B772" s="1">
        <v>45699</v>
      </c>
      <c r="C772">
        <v>1048</v>
      </c>
      <c r="D772" t="s">
        <v>81</v>
      </c>
      <c r="E772" t="s">
        <v>29</v>
      </c>
      <c r="F772" t="s">
        <v>14</v>
      </c>
      <c r="G772" t="s">
        <v>65</v>
      </c>
      <c r="H772" t="s">
        <v>16</v>
      </c>
      <c r="I772">
        <v>4</v>
      </c>
      <c r="J772">
        <v>12000</v>
      </c>
      <c r="K772">
        <v>0</v>
      </c>
      <c r="L772" t="s">
        <v>20</v>
      </c>
      <c r="M772">
        <f>I772*J772*(1-K772/100)</f>
        <v>48000</v>
      </c>
      <c r="N772" t="str">
        <f>TEXT(B772,"yyyy-mm")</f>
        <v>2025-02</v>
      </c>
    </row>
    <row r="773" spans="1:14" x14ac:dyDescent="0.3">
      <c r="A773">
        <v>5680</v>
      </c>
      <c r="B773" s="1">
        <v>45914</v>
      </c>
      <c r="C773">
        <v>1048</v>
      </c>
      <c r="D773" t="s">
        <v>81</v>
      </c>
      <c r="E773" t="s">
        <v>29</v>
      </c>
      <c r="F773" t="s">
        <v>14</v>
      </c>
      <c r="G773" t="s">
        <v>57</v>
      </c>
      <c r="H773" t="s">
        <v>38</v>
      </c>
      <c r="I773">
        <v>4</v>
      </c>
      <c r="J773">
        <v>16000</v>
      </c>
      <c r="K773">
        <v>0</v>
      </c>
      <c r="L773" t="s">
        <v>25</v>
      </c>
      <c r="M773">
        <f>I773*J773*(1-K773/100)</f>
        <v>64000</v>
      </c>
      <c r="N773" t="str">
        <f>TEXT(B773,"yyyy-mm")</f>
        <v>2025-09</v>
      </c>
    </row>
    <row r="774" spans="1:14" x14ac:dyDescent="0.3">
      <c r="A774">
        <v>5705</v>
      </c>
      <c r="B774" s="1">
        <v>45924</v>
      </c>
      <c r="C774">
        <v>1048</v>
      </c>
      <c r="D774" t="s">
        <v>81</v>
      </c>
      <c r="E774" t="s">
        <v>29</v>
      </c>
      <c r="F774" t="s">
        <v>14</v>
      </c>
      <c r="G774" t="s">
        <v>19</v>
      </c>
      <c r="H774" t="s">
        <v>16</v>
      </c>
      <c r="I774">
        <v>4</v>
      </c>
      <c r="J774">
        <v>9500</v>
      </c>
      <c r="K774">
        <v>0</v>
      </c>
      <c r="L774" t="s">
        <v>25</v>
      </c>
      <c r="M774">
        <f>I774*J774*(1-K774/100)</f>
        <v>38000</v>
      </c>
      <c r="N774" t="str">
        <f>TEXT(B774,"yyyy-mm")</f>
        <v>2025-09</v>
      </c>
    </row>
    <row r="775" spans="1:14" x14ac:dyDescent="0.3">
      <c r="A775">
        <v>5709</v>
      </c>
      <c r="B775" s="1">
        <v>45925</v>
      </c>
      <c r="C775">
        <v>1048</v>
      </c>
      <c r="D775" t="s">
        <v>81</v>
      </c>
      <c r="E775" t="s">
        <v>87</v>
      </c>
      <c r="F775" t="s">
        <v>14</v>
      </c>
      <c r="G775" t="s">
        <v>55</v>
      </c>
      <c r="H775" t="s">
        <v>16</v>
      </c>
      <c r="I775">
        <v>4</v>
      </c>
      <c r="J775">
        <v>2500</v>
      </c>
      <c r="K775">
        <v>5</v>
      </c>
      <c r="L775" t="s">
        <v>20</v>
      </c>
      <c r="M775">
        <f>I775*J775*(1-K775/100)</f>
        <v>9500</v>
      </c>
      <c r="N775" t="str">
        <f>TEXT(B775,"yyyy-mm")</f>
        <v>2025-09</v>
      </c>
    </row>
    <row r="776" spans="1:14" x14ac:dyDescent="0.3">
      <c r="A776">
        <v>5984</v>
      </c>
      <c r="B776" s="1">
        <v>46017</v>
      </c>
      <c r="C776">
        <v>1048</v>
      </c>
      <c r="D776" t="s">
        <v>81</v>
      </c>
      <c r="E776" t="s">
        <v>29</v>
      </c>
      <c r="F776" t="s">
        <v>14</v>
      </c>
      <c r="G776" t="s">
        <v>65</v>
      </c>
      <c r="H776" t="s">
        <v>16</v>
      </c>
      <c r="I776">
        <v>4</v>
      </c>
      <c r="J776">
        <v>12000</v>
      </c>
      <c r="K776">
        <v>0</v>
      </c>
      <c r="L776" t="s">
        <v>34</v>
      </c>
      <c r="M776">
        <f>I776*J776*(1-K776/100)</f>
        <v>48000</v>
      </c>
      <c r="N776" t="str">
        <f>TEXT(B776,"yyyy-mm")</f>
        <v>2025-12</v>
      </c>
    </row>
    <row r="777" spans="1:14" x14ac:dyDescent="0.3">
      <c r="A777">
        <v>5116</v>
      </c>
      <c r="B777" s="1">
        <v>45700</v>
      </c>
      <c r="C777">
        <v>1048</v>
      </c>
      <c r="D777" t="s">
        <v>81</v>
      </c>
      <c r="E777" t="s">
        <v>29</v>
      </c>
      <c r="F777" t="s">
        <v>14</v>
      </c>
      <c r="G777" t="s">
        <v>40</v>
      </c>
      <c r="H777" t="s">
        <v>38</v>
      </c>
      <c r="I777">
        <v>3</v>
      </c>
      <c r="J777">
        <v>900</v>
      </c>
      <c r="K777">
        <v>15</v>
      </c>
      <c r="L777" t="s">
        <v>17</v>
      </c>
      <c r="M777">
        <f>I777*J777*(1-K777/100)</f>
        <v>2295</v>
      </c>
      <c r="N777" t="str">
        <f>TEXT(B777,"yyyy-mm")</f>
        <v>2025-02</v>
      </c>
    </row>
    <row r="778" spans="1:14" x14ac:dyDescent="0.3">
      <c r="A778">
        <v>5436</v>
      </c>
      <c r="B778" s="1">
        <v>45825</v>
      </c>
      <c r="C778">
        <v>1048</v>
      </c>
      <c r="D778" t="s">
        <v>81</v>
      </c>
      <c r="E778" t="s">
        <v>29</v>
      </c>
      <c r="F778" t="s">
        <v>14</v>
      </c>
      <c r="G778" t="s">
        <v>65</v>
      </c>
      <c r="H778" t="s">
        <v>16</v>
      </c>
      <c r="I778">
        <v>3</v>
      </c>
      <c r="J778">
        <v>12000</v>
      </c>
      <c r="K778">
        <v>0</v>
      </c>
      <c r="L778" t="s">
        <v>20</v>
      </c>
      <c r="M778">
        <f>I778*J778*(1-K778/100)</f>
        <v>36000</v>
      </c>
      <c r="N778" t="str">
        <f>TEXT(B778,"yyyy-mm")</f>
        <v>2025-06</v>
      </c>
    </row>
    <row r="779" spans="1:14" x14ac:dyDescent="0.3">
      <c r="A779">
        <v>5906</v>
      </c>
      <c r="B779" s="1">
        <v>45993</v>
      </c>
      <c r="C779">
        <v>1048</v>
      </c>
      <c r="D779" t="s">
        <v>81</v>
      </c>
      <c r="E779" t="s">
        <v>29</v>
      </c>
      <c r="F779" t="s">
        <v>14</v>
      </c>
      <c r="G779" t="s">
        <v>57</v>
      </c>
      <c r="H779" t="s">
        <v>38</v>
      </c>
      <c r="I779">
        <v>3</v>
      </c>
      <c r="J779">
        <v>16000</v>
      </c>
      <c r="K779">
        <v>10</v>
      </c>
      <c r="L779" t="s">
        <v>34</v>
      </c>
      <c r="M779">
        <f>I779*J779*(1-K779/100)</f>
        <v>43200</v>
      </c>
      <c r="N779" t="str">
        <f>TEXT(B779,"yyyy-mm")</f>
        <v>2025-12</v>
      </c>
    </row>
    <row r="780" spans="1:14" x14ac:dyDescent="0.3">
      <c r="A780">
        <v>5317</v>
      </c>
      <c r="B780" s="1">
        <v>45773</v>
      </c>
      <c r="C780">
        <v>1048</v>
      </c>
      <c r="D780" t="s">
        <v>81</v>
      </c>
      <c r="E780" t="s">
        <v>29</v>
      </c>
      <c r="F780" t="s">
        <v>14</v>
      </c>
      <c r="G780" t="s">
        <v>37</v>
      </c>
      <c r="H780" t="s">
        <v>38</v>
      </c>
      <c r="I780">
        <v>2</v>
      </c>
      <c r="J780">
        <v>7500</v>
      </c>
      <c r="K780">
        <v>0</v>
      </c>
      <c r="L780" t="s">
        <v>17</v>
      </c>
      <c r="M780">
        <f>I780*J780*(1-K780/100)</f>
        <v>15000</v>
      </c>
      <c r="N780" t="str">
        <f>TEXT(B780,"yyyy-mm")</f>
        <v>2025-04</v>
      </c>
    </row>
    <row r="781" spans="1:14" x14ac:dyDescent="0.3">
      <c r="A781">
        <v>5161</v>
      </c>
      <c r="B781" s="1">
        <v>45711</v>
      </c>
      <c r="C781">
        <v>1048</v>
      </c>
      <c r="D781" t="s">
        <v>81</v>
      </c>
      <c r="E781" t="s">
        <v>29</v>
      </c>
      <c r="F781" t="s">
        <v>14</v>
      </c>
      <c r="G781" t="s">
        <v>52</v>
      </c>
      <c r="H781" t="s">
        <v>16</v>
      </c>
      <c r="I781">
        <v>1</v>
      </c>
      <c r="J781">
        <v>6000</v>
      </c>
      <c r="K781">
        <v>0</v>
      </c>
      <c r="L781" t="s">
        <v>34</v>
      </c>
      <c r="M781">
        <f>I781*J781*(1-K781/100)</f>
        <v>6000</v>
      </c>
      <c r="N781" t="str">
        <f>TEXT(B781,"yyyy-mm")</f>
        <v>2025-02</v>
      </c>
    </row>
    <row r="782" spans="1:14" x14ac:dyDescent="0.3">
      <c r="A782">
        <v>5278</v>
      </c>
      <c r="B782" s="1">
        <v>45761</v>
      </c>
      <c r="C782">
        <v>1048</v>
      </c>
      <c r="D782" t="s">
        <v>81</v>
      </c>
      <c r="E782" t="s">
        <v>29</v>
      </c>
      <c r="F782" t="s">
        <v>14</v>
      </c>
      <c r="G782" t="s">
        <v>24</v>
      </c>
      <c r="H782" t="s">
        <v>16</v>
      </c>
      <c r="I782">
        <v>1</v>
      </c>
      <c r="J782">
        <v>22000</v>
      </c>
      <c r="K782">
        <v>5</v>
      </c>
      <c r="L782" t="s">
        <v>20</v>
      </c>
      <c r="M782">
        <f>I782*J782*(1-K782/100)</f>
        <v>20900</v>
      </c>
      <c r="N782" t="str">
        <f>TEXT(B782,"yyyy-mm")</f>
        <v>2025-04</v>
      </c>
    </row>
    <row r="783" spans="1:14" x14ac:dyDescent="0.3">
      <c r="A783">
        <v>5384</v>
      </c>
      <c r="B783" s="1">
        <v>45807</v>
      </c>
      <c r="C783">
        <v>1048</v>
      </c>
      <c r="D783" t="s">
        <v>81</v>
      </c>
      <c r="E783" t="s">
        <v>29</v>
      </c>
      <c r="F783" t="s">
        <v>14</v>
      </c>
      <c r="G783" t="s">
        <v>42</v>
      </c>
      <c r="H783" t="s">
        <v>31</v>
      </c>
      <c r="I783">
        <v>1</v>
      </c>
      <c r="J783">
        <v>200</v>
      </c>
      <c r="K783">
        <v>0</v>
      </c>
      <c r="L783" t="s">
        <v>17</v>
      </c>
      <c r="M783">
        <f>I783*J783*(1-K783/100)</f>
        <v>200</v>
      </c>
      <c r="N783" t="str">
        <f>TEXT(B783,"yyyy-mm")</f>
        <v>2025-05</v>
      </c>
    </row>
    <row r="784" spans="1:14" x14ac:dyDescent="0.3">
      <c r="A784">
        <v>5686</v>
      </c>
      <c r="B784" s="1">
        <v>45917</v>
      </c>
      <c r="C784">
        <v>1048</v>
      </c>
      <c r="D784" t="s">
        <v>81</v>
      </c>
      <c r="E784" t="s">
        <v>29</v>
      </c>
      <c r="F784" t="s">
        <v>14</v>
      </c>
      <c r="G784" t="s">
        <v>24</v>
      </c>
      <c r="H784" t="s">
        <v>16</v>
      </c>
      <c r="I784">
        <v>1</v>
      </c>
      <c r="J784">
        <v>22000</v>
      </c>
      <c r="K784">
        <v>0</v>
      </c>
      <c r="L784" t="s">
        <v>43</v>
      </c>
      <c r="M784">
        <f>I784*J784*(1-K784/100)</f>
        <v>22000</v>
      </c>
      <c r="N784" t="str">
        <f>TEXT(B784,"yyyy-mm")</f>
        <v>2025-09</v>
      </c>
    </row>
    <row r="785" spans="1:14" x14ac:dyDescent="0.3">
      <c r="A785">
        <v>5957</v>
      </c>
      <c r="B785" s="1">
        <v>46008</v>
      </c>
      <c r="C785">
        <v>1048</v>
      </c>
      <c r="D785" t="s">
        <v>81</v>
      </c>
      <c r="E785" t="s">
        <v>29</v>
      </c>
      <c r="F785" t="s">
        <v>14</v>
      </c>
      <c r="G785" t="s">
        <v>42</v>
      </c>
      <c r="H785" t="s">
        <v>31</v>
      </c>
      <c r="I785">
        <v>1</v>
      </c>
      <c r="J785">
        <v>200</v>
      </c>
      <c r="K785">
        <v>0</v>
      </c>
      <c r="L785" t="s">
        <v>34</v>
      </c>
      <c r="M785">
        <f>I785*J785*(1-K785/100)</f>
        <v>200</v>
      </c>
      <c r="N785" t="str">
        <f>TEXT(B785,"yyyy-mm")</f>
        <v>2025-12</v>
      </c>
    </row>
    <row r="786" spans="1:14" x14ac:dyDescent="0.3">
      <c r="A786">
        <v>5034</v>
      </c>
      <c r="B786" s="1">
        <v>45669</v>
      </c>
      <c r="C786">
        <v>1049</v>
      </c>
      <c r="D786" t="s">
        <v>60</v>
      </c>
      <c r="E786" t="s">
        <v>33</v>
      </c>
      <c r="F786" t="s">
        <v>27</v>
      </c>
      <c r="G786" t="s">
        <v>15</v>
      </c>
      <c r="H786" t="s">
        <v>16</v>
      </c>
      <c r="I786">
        <v>5</v>
      </c>
      <c r="J786">
        <v>18000</v>
      </c>
      <c r="K786">
        <v>5</v>
      </c>
      <c r="L786" t="s">
        <v>20</v>
      </c>
      <c r="M786">
        <f>I786*J786*(1-K786/100)</f>
        <v>85500</v>
      </c>
      <c r="N786" t="str">
        <f>TEXT(B786,"yyyy-mm")</f>
        <v>2025-01</v>
      </c>
    </row>
    <row r="787" spans="1:14" x14ac:dyDescent="0.3">
      <c r="A787">
        <v>5126</v>
      </c>
      <c r="B787" s="1">
        <v>45701</v>
      </c>
      <c r="C787">
        <v>1049</v>
      </c>
      <c r="D787" t="s">
        <v>60</v>
      </c>
      <c r="E787" t="s">
        <v>33</v>
      </c>
      <c r="F787" t="s">
        <v>27</v>
      </c>
      <c r="G787" t="s">
        <v>55</v>
      </c>
      <c r="H787" t="s">
        <v>16</v>
      </c>
      <c r="I787">
        <v>5</v>
      </c>
      <c r="J787">
        <v>2500</v>
      </c>
      <c r="K787">
        <v>0</v>
      </c>
      <c r="L787" t="s">
        <v>25</v>
      </c>
      <c r="M787">
        <f>I787*J787*(1-K787/100)</f>
        <v>12500</v>
      </c>
      <c r="N787" t="str">
        <f>TEXT(B787,"yyyy-mm")</f>
        <v>2025-02</v>
      </c>
    </row>
    <row r="788" spans="1:14" x14ac:dyDescent="0.3">
      <c r="A788">
        <v>5274</v>
      </c>
      <c r="B788" s="1">
        <v>45760</v>
      </c>
      <c r="C788">
        <v>1049</v>
      </c>
      <c r="D788" t="s">
        <v>60</v>
      </c>
      <c r="E788" t="s">
        <v>33</v>
      </c>
      <c r="F788" t="s">
        <v>27</v>
      </c>
      <c r="G788" t="s">
        <v>52</v>
      </c>
      <c r="H788" t="s">
        <v>16</v>
      </c>
      <c r="I788">
        <v>5</v>
      </c>
      <c r="J788">
        <v>6000</v>
      </c>
      <c r="K788">
        <v>5</v>
      </c>
      <c r="L788" t="s">
        <v>25</v>
      </c>
      <c r="M788">
        <f>I788*J788*(1-K788/100)</f>
        <v>28500</v>
      </c>
      <c r="N788" t="str">
        <f>TEXT(B788,"yyyy-mm")</f>
        <v>2025-04</v>
      </c>
    </row>
    <row r="789" spans="1:14" x14ac:dyDescent="0.3">
      <c r="A789">
        <v>5449</v>
      </c>
      <c r="B789" s="1">
        <v>45829</v>
      </c>
      <c r="C789">
        <v>1049</v>
      </c>
      <c r="D789" t="s">
        <v>60</v>
      </c>
      <c r="E789" t="s">
        <v>33</v>
      </c>
      <c r="F789" t="s">
        <v>27</v>
      </c>
      <c r="G789" t="s">
        <v>40</v>
      </c>
      <c r="H789" t="s">
        <v>38</v>
      </c>
      <c r="I789">
        <v>5</v>
      </c>
      <c r="J789">
        <v>900</v>
      </c>
      <c r="K789">
        <v>0</v>
      </c>
      <c r="L789" t="s">
        <v>34</v>
      </c>
      <c r="M789">
        <f>I789*J789*(1-K789/100)</f>
        <v>4500</v>
      </c>
      <c r="N789" t="str">
        <f>TEXT(B789,"yyyy-mm")</f>
        <v>2025-06</v>
      </c>
    </row>
    <row r="790" spans="1:14" x14ac:dyDescent="0.3">
      <c r="A790">
        <v>5996</v>
      </c>
      <c r="B790" s="1">
        <v>46021</v>
      </c>
      <c r="C790">
        <v>1049</v>
      </c>
      <c r="D790" t="s">
        <v>60</v>
      </c>
      <c r="E790" t="s">
        <v>33</v>
      </c>
      <c r="F790" t="s">
        <v>27</v>
      </c>
      <c r="G790" t="s">
        <v>65</v>
      </c>
      <c r="H790" t="s">
        <v>16</v>
      </c>
      <c r="I790">
        <v>4</v>
      </c>
      <c r="J790">
        <v>12000</v>
      </c>
      <c r="K790">
        <v>10</v>
      </c>
      <c r="L790" t="s">
        <v>17</v>
      </c>
      <c r="M790">
        <f>I790*J790*(1-K790/100)</f>
        <v>43200</v>
      </c>
      <c r="N790" t="str">
        <f>TEXT(B790,"yyyy-mm")</f>
        <v>2025-12</v>
      </c>
    </row>
    <row r="791" spans="1:14" x14ac:dyDescent="0.3">
      <c r="A791">
        <v>5896</v>
      </c>
      <c r="B791" s="1">
        <v>45991</v>
      </c>
      <c r="C791">
        <v>1049</v>
      </c>
      <c r="D791" t="s">
        <v>60</v>
      </c>
      <c r="E791" t="s">
        <v>33</v>
      </c>
      <c r="F791" t="s">
        <v>27</v>
      </c>
      <c r="G791" t="s">
        <v>36</v>
      </c>
      <c r="H791" t="s">
        <v>16</v>
      </c>
      <c r="I791">
        <v>3</v>
      </c>
      <c r="J791">
        <v>55000</v>
      </c>
      <c r="K791">
        <v>0</v>
      </c>
      <c r="L791" t="s">
        <v>17</v>
      </c>
      <c r="M791">
        <f>I791*J791*(1-K791/100)</f>
        <v>165000</v>
      </c>
      <c r="N791" t="str">
        <f>TEXT(B791,"yyyy-mm")</f>
        <v>2025-11</v>
      </c>
    </row>
    <row r="792" spans="1:14" x14ac:dyDescent="0.3">
      <c r="A792">
        <v>5861</v>
      </c>
      <c r="B792" s="1">
        <v>45973</v>
      </c>
      <c r="C792">
        <v>1049</v>
      </c>
      <c r="D792" t="s">
        <v>60</v>
      </c>
      <c r="E792" t="s">
        <v>33</v>
      </c>
      <c r="F792" t="s">
        <v>27</v>
      </c>
      <c r="G792" t="s">
        <v>36</v>
      </c>
      <c r="H792" t="s">
        <v>16</v>
      </c>
      <c r="I792">
        <v>2</v>
      </c>
      <c r="J792">
        <v>55000</v>
      </c>
      <c r="K792">
        <v>15</v>
      </c>
      <c r="L792" t="s">
        <v>43</v>
      </c>
      <c r="M792">
        <f>I792*J792*(1-K792/100)</f>
        <v>93500</v>
      </c>
      <c r="N792" t="str">
        <f>TEXT(B792,"yyyy-mm")</f>
        <v>2025-11</v>
      </c>
    </row>
    <row r="793" spans="1:14" x14ac:dyDescent="0.3">
      <c r="A793">
        <v>5235</v>
      </c>
      <c r="B793" s="1">
        <v>45744</v>
      </c>
      <c r="C793">
        <v>1049</v>
      </c>
      <c r="D793" t="s">
        <v>60</v>
      </c>
      <c r="E793" t="s">
        <v>33</v>
      </c>
      <c r="F793" t="s">
        <v>27</v>
      </c>
      <c r="G793" t="s">
        <v>65</v>
      </c>
      <c r="H793" t="s">
        <v>16</v>
      </c>
      <c r="I793">
        <v>1</v>
      </c>
      <c r="J793">
        <v>12000</v>
      </c>
      <c r="K793">
        <v>0</v>
      </c>
      <c r="L793" t="s">
        <v>20</v>
      </c>
      <c r="M793">
        <f>I793*J793*(1-K793/100)</f>
        <v>12000</v>
      </c>
      <c r="N793" t="str">
        <f>TEXT(B793,"yyyy-mm")</f>
        <v>2025-03</v>
      </c>
    </row>
    <row r="794" spans="1:14" x14ac:dyDescent="0.3">
      <c r="A794">
        <v>5543</v>
      </c>
      <c r="B794" s="1">
        <v>45860</v>
      </c>
      <c r="C794">
        <v>1049</v>
      </c>
      <c r="D794" t="s">
        <v>60</v>
      </c>
      <c r="E794" t="s">
        <v>33</v>
      </c>
      <c r="F794" t="s">
        <v>27</v>
      </c>
      <c r="G794" t="s">
        <v>55</v>
      </c>
      <c r="H794" t="s">
        <v>16</v>
      </c>
      <c r="I794">
        <v>1</v>
      </c>
      <c r="J794">
        <v>2500</v>
      </c>
      <c r="K794">
        <v>5</v>
      </c>
      <c r="L794" t="s">
        <v>25</v>
      </c>
      <c r="M794">
        <f>I794*J794*(1-K794/100)</f>
        <v>2375</v>
      </c>
      <c r="N794" t="str">
        <f>TEXT(B794,"yyyy-mm")</f>
        <v>2025-07</v>
      </c>
    </row>
    <row r="795" spans="1:14" x14ac:dyDescent="0.3">
      <c r="A795">
        <v>5793</v>
      </c>
      <c r="B795" s="1">
        <v>45951</v>
      </c>
      <c r="C795">
        <v>1049</v>
      </c>
      <c r="D795" t="s">
        <v>60</v>
      </c>
      <c r="E795" t="s">
        <v>33</v>
      </c>
      <c r="F795" t="s">
        <v>27</v>
      </c>
      <c r="G795" t="s">
        <v>37</v>
      </c>
      <c r="H795" t="s">
        <v>38</v>
      </c>
      <c r="I795">
        <v>1</v>
      </c>
      <c r="J795">
        <v>7500</v>
      </c>
      <c r="K795">
        <v>0</v>
      </c>
      <c r="L795" t="s">
        <v>17</v>
      </c>
      <c r="M795">
        <f>I795*J795*(1-K795/100)</f>
        <v>7500</v>
      </c>
      <c r="N795" t="str">
        <f>TEXT(B795,"yyyy-mm")</f>
        <v>2025-10</v>
      </c>
    </row>
    <row r="796" spans="1:14" x14ac:dyDescent="0.3">
      <c r="A796">
        <v>5859</v>
      </c>
      <c r="B796" s="1">
        <v>45973</v>
      </c>
      <c r="C796">
        <v>1049</v>
      </c>
      <c r="D796" t="s">
        <v>60</v>
      </c>
      <c r="E796" t="s">
        <v>33</v>
      </c>
      <c r="F796" t="s">
        <v>27</v>
      </c>
      <c r="G796" t="s">
        <v>15</v>
      </c>
      <c r="H796" t="s">
        <v>16</v>
      </c>
      <c r="I796">
        <v>1</v>
      </c>
      <c r="J796">
        <v>18000</v>
      </c>
      <c r="K796">
        <v>5</v>
      </c>
      <c r="L796" t="s">
        <v>25</v>
      </c>
      <c r="M796">
        <f>I796*J796*(1-K796/100)</f>
        <v>17100</v>
      </c>
      <c r="N796" t="str">
        <f>TEXT(B796,"yyyy-mm")</f>
        <v>2025-11</v>
      </c>
    </row>
    <row r="797" spans="1:14" x14ac:dyDescent="0.3">
      <c r="A797">
        <v>5665</v>
      </c>
      <c r="B797" s="1">
        <v>45907</v>
      </c>
      <c r="C797">
        <v>1050</v>
      </c>
      <c r="D797" t="s">
        <v>85</v>
      </c>
      <c r="E797" t="s">
        <v>29</v>
      </c>
      <c r="F797" t="s">
        <v>14</v>
      </c>
      <c r="G797" t="s">
        <v>40</v>
      </c>
      <c r="H797" t="s">
        <v>38</v>
      </c>
      <c r="I797">
        <v>5</v>
      </c>
      <c r="J797">
        <v>900</v>
      </c>
      <c r="K797">
        <v>0</v>
      </c>
      <c r="L797" t="s">
        <v>43</v>
      </c>
      <c r="M797">
        <f>I797*J797*(1-K797/100)</f>
        <v>4500</v>
      </c>
      <c r="N797" t="str">
        <f>TEXT(B797,"yyyy-mm")</f>
        <v>2025-09</v>
      </c>
    </row>
    <row r="798" spans="1:14" x14ac:dyDescent="0.3">
      <c r="A798">
        <v>5671</v>
      </c>
      <c r="B798" s="1">
        <v>45909</v>
      </c>
      <c r="C798">
        <v>1050</v>
      </c>
      <c r="D798" t="s">
        <v>85</v>
      </c>
      <c r="E798" t="s">
        <v>29</v>
      </c>
      <c r="F798" t="s">
        <v>14</v>
      </c>
      <c r="G798" t="s">
        <v>65</v>
      </c>
      <c r="H798" t="s">
        <v>16</v>
      </c>
      <c r="I798">
        <v>5</v>
      </c>
      <c r="J798">
        <v>12000</v>
      </c>
      <c r="K798">
        <v>0</v>
      </c>
      <c r="L798" t="s">
        <v>20</v>
      </c>
      <c r="M798">
        <f>I798*J798*(1-K798/100)</f>
        <v>60000</v>
      </c>
      <c r="N798" t="str">
        <f>TEXT(B798,"yyyy-mm")</f>
        <v>2025-09</v>
      </c>
    </row>
    <row r="799" spans="1:14" x14ac:dyDescent="0.3">
      <c r="A799">
        <v>5687</v>
      </c>
      <c r="B799" s="1">
        <v>45917</v>
      </c>
      <c r="C799">
        <v>1050</v>
      </c>
      <c r="D799" t="s">
        <v>85</v>
      </c>
      <c r="E799" t="s">
        <v>29</v>
      </c>
      <c r="F799" t="s">
        <v>14</v>
      </c>
      <c r="G799" t="s">
        <v>36</v>
      </c>
      <c r="H799" t="s">
        <v>16</v>
      </c>
      <c r="I799">
        <v>5</v>
      </c>
      <c r="J799">
        <v>55000</v>
      </c>
      <c r="K799">
        <v>0</v>
      </c>
      <c r="L799" t="s">
        <v>25</v>
      </c>
      <c r="M799">
        <f>I799*J799*(1-K799/100)</f>
        <v>275000</v>
      </c>
      <c r="N799" t="str">
        <f>TEXT(B799,"yyyy-mm")</f>
        <v>2025-09</v>
      </c>
    </row>
    <row r="800" spans="1:14" x14ac:dyDescent="0.3">
      <c r="A800">
        <v>5988</v>
      </c>
      <c r="B800" s="1">
        <v>46018</v>
      </c>
      <c r="C800">
        <v>1050</v>
      </c>
      <c r="D800" t="s">
        <v>85</v>
      </c>
      <c r="E800" t="s">
        <v>87</v>
      </c>
      <c r="F800" t="s">
        <v>14</v>
      </c>
      <c r="G800" t="s">
        <v>40</v>
      </c>
      <c r="H800" t="s">
        <v>38</v>
      </c>
      <c r="I800">
        <v>5</v>
      </c>
      <c r="J800">
        <v>900</v>
      </c>
      <c r="K800">
        <v>0</v>
      </c>
      <c r="L800" t="s">
        <v>20</v>
      </c>
      <c r="M800">
        <f>I800*J800*(1-K800/100)</f>
        <v>4500</v>
      </c>
      <c r="N800" t="str">
        <f>TEXT(B800,"yyyy-mm")</f>
        <v>2025-12</v>
      </c>
    </row>
    <row r="801" spans="1:14" x14ac:dyDescent="0.3">
      <c r="A801">
        <v>5623</v>
      </c>
      <c r="B801" s="1">
        <v>45890</v>
      </c>
      <c r="C801">
        <v>1050</v>
      </c>
      <c r="D801" t="s">
        <v>85</v>
      </c>
      <c r="E801" t="s">
        <v>87</v>
      </c>
      <c r="F801" t="s">
        <v>14</v>
      </c>
      <c r="G801" t="s">
        <v>30</v>
      </c>
      <c r="H801" t="s">
        <v>31</v>
      </c>
      <c r="I801">
        <v>3</v>
      </c>
      <c r="J801">
        <v>350</v>
      </c>
      <c r="K801">
        <v>5</v>
      </c>
      <c r="L801" t="s">
        <v>34</v>
      </c>
      <c r="M801">
        <f>I801*J801*(1-K801/100)</f>
        <v>997.5</v>
      </c>
      <c r="N801" t="str">
        <f>TEXT(B801,"yyyy-mm")</f>
        <v>2025-08</v>
      </c>
    </row>
    <row r="802" spans="1:14" x14ac:dyDescent="0.3">
      <c r="A802">
        <v>5986</v>
      </c>
      <c r="B802" s="1">
        <v>46017</v>
      </c>
      <c r="C802">
        <v>1050</v>
      </c>
      <c r="D802" t="s">
        <v>85</v>
      </c>
      <c r="E802" t="s">
        <v>29</v>
      </c>
      <c r="F802" t="s">
        <v>14</v>
      </c>
      <c r="G802" t="s">
        <v>30</v>
      </c>
      <c r="H802" t="s">
        <v>31</v>
      </c>
      <c r="I802">
        <v>3</v>
      </c>
      <c r="J802">
        <v>350</v>
      </c>
      <c r="K802">
        <v>0</v>
      </c>
      <c r="L802" t="s">
        <v>43</v>
      </c>
      <c r="M802">
        <f>I802*J802*(1-K802/100)</f>
        <v>1050</v>
      </c>
      <c r="N802" t="str">
        <f>TEXT(B802,"yyyy-mm")</f>
        <v>2025-12</v>
      </c>
    </row>
    <row r="803" spans="1:14" x14ac:dyDescent="0.3">
      <c r="A803">
        <v>5287</v>
      </c>
      <c r="B803" s="1">
        <v>45763</v>
      </c>
      <c r="C803">
        <v>1050</v>
      </c>
      <c r="D803" t="s">
        <v>85</v>
      </c>
      <c r="E803" t="s">
        <v>29</v>
      </c>
      <c r="F803" t="s">
        <v>14</v>
      </c>
      <c r="G803" t="s">
        <v>55</v>
      </c>
      <c r="H803" t="s">
        <v>16</v>
      </c>
      <c r="I803">
        <v>2</v>
      </c>
      <c r="J803">
        <v>2500</v>
      </c>
      <c r="K803">
        <v>0</v>
      </c>
      <c r="L803" t="s">
        <v>25</v>
      </c>
      <c r="M803">
        <f>I803*J803*(1-K803/100)</f>
        <v>5000</v>
      </c>
      <c r="N803" t="str">
        <f>TEXT(B803,"yyyy-mm")</f>
        <v>2025-04</v>
      </c>
    </row>
    <row r="804" spans="1:14" x14ac:dyDescent="0.3">
      <c r="A804">
        <v>5303</v>
      </c>
      <c r="B804" s="1">
        <v>45770</v>
      </c>
      <c r="C804">
        <v>1050</v>
      </c>
      <c r="D804" t="s">
        <v>85</v>
      </c>
      <c r="E804" t="s">
        <v>29</v>
      </c>
      <c r="F804" t="s">
        <v>14</v>
      </c>
      <c r="G804" t="s">
        <v>19</v>
      </c>
      <c r="H804" t="s">
        <v>16</v>
      </c>
      <c r="I804">
        <v>2</v>
      </c>
      <c r="J804">
        <v>9500</v>
      </c>
      <c r="K804">
        <v>0</v>
      </c>
      <c r="L804" t="s">
        <v>20</v>
      </c>
      <c r="M804">
        <f>I804*J804*(1-K804/100)</f>
        <v>19000</v>
      </c>
      <c r="N804" t="str">
        <f>TEXT(B804,"yyyy-mm")</f>
        <v>2025-04</v>
      </c>
    </row>
    <row r="805" spans="1:14" x14ac:dyDescent="0.3">
      <c r="A805">
        <v>5664</v>
      </c>
      <c r="B805" s="1">
        <v>45906</v>
      </c>
      <c r="C805">
        <v>1050</v>
      </c>
      <c r="D805" t="s">
        <v>85</v>
      </c>
      <c r="E805" t="s">
        <v>29</v>
      </c>
      <c r="F805" t="s">
        <v>14</v>
      </c>
      <c r="G805" t="s">
        <v>55</v>
      </c>
      <c r="H805" t="s">
        <v>16</v>
      </c>
      <c r="I805">
        <v>2</v>
      </c>
      <c r="J805">
        <v>2500</v>
      </c>
      <c r="K805">
        <v>5</v>
      </c>
      <c r="L805" t="s">
        <v>34</v>
      </c>
      <c r="M805">
        <f>I805*J805*(1-K805/100)</f>
        <v>4750</v>
      </c>
      <c r="N805" t="str">
        <f>TEXT(B805,"yyyy-mm")</f>
        <v>2025-09</v>
      </c>
    </row>
    <row r="806" spans="1:14" x14ac:dyDescent="0.3">
      <c r="A806">
        <v>5781</v>
      </c>
      <c r="B806" s="1">
        <v>45949</v>
      </c>
      <c r="C806">
        <v>1050</v>
      </c>
      <c r="D806" t="s">
        <v>85</v>
      </c>
      <c r="E806" t="s">
        <v>29</v>
      </c>
      <c r="F806" t="s">
        <v>14</v>
      </c>
      <c r="G806" t="s">
        <v>42</v>
      </c>
      <c r="H806" t="s">
        <v>31</v>
      </c>
      <c r="I806">
        <v>2</v>
      </c>
      <c r="J806">
        <v>200</v>
      </c>
      <c r="K806">
        <v>5</v>
      </c>
      <c r="L806" t="s">
        <v>25</v>
      </c>
      <c r="M806">
        <f>I806*J806*(1-K806/100)</f>
        <v>380</v>
      </c>
      <c r="N806" t="str">
        <f>TEXT(B806,"yyyy-mm")</f>
        <v>2025-10</v>
      </c>
    </row>
    <row r="807" spans="1:14" x14ac:dyDescent="0.3">
      <c r="A807">
        <v>5946</v>
      </c>
      <c r="B807" s="1">
        <v>46005</v>
      </c>
      <c r="C807">
        <v>1050</v>
      </c>
      <c r="D807" t="s">
        <v>85</v>
      </c>
      <c r="E807" t="s">
        <v>29</v>
      </c>
      <c r="F807" t="s">
        <v>14</v>
      </c>
      <c r="G807" t="s">
        <v>52</v>
      </c>
      <c r="H807" t="s">
        <v>16</v>
      </c>
      <c r="I807">
        <v>2</v>
      </c>
      <c r="J807">
        <v>6000</v>
      </c>
      <c r="K807">
        <v>15</v>
      </c>
      <c r="L807" t="s">
        <v>25</v>
      </c>
      <c r="M807">
        <f>I807*J807*(1-K807/100)</f>
        <v>10200</v>
      </c>
      <c r="N807" t="str">
        <f>TEXT(B807,"yyyy-mm")</f>
        <v>2025-12</v>
      </c>
    </row>
    <row r="808" spans="1:14" x14ac:dyDescent="0.3">
      <c r="A808">
        <v>5248</v>
      </c>
      <c r="B808" s="1">
        <v>45747</v>
      </c>
      <c r="C808">
        <v>1051</v>
      </c>
      <c r="D808" t="s">
        <v>83</v>
      </c>
      <c r="E808" t="s">
        <v>29</v>
      </c>
      <c r="F808" t="s">
        <v>14</v>
      </c>
      <c r="G808" t="s">
        <v>65</v>
      </c>
      <c r="H808" t="s">
        <v>16</v>
      </c>
      <c r="I808">
        <v>5</v>
      </c>
      <c r="J808">
        <v>12000</v>
      </c>
      <c r="K808">
        <v>0</v>
      </c>
      <c r="L808" t="s">
        <v>25</v>
      </c>
      <c r="M808">
        <f>I808*J808*(1-K808/100)</f>
        <v>60000</v>
      </c>
      <c r="N808" t="str">
        <f>TEXT(B808,"yyyy-mm")</f>
        <v>2025-03</v>
      </c>
    </row>
    <row r="809" spans="1:14" x14ac:dyDescent="0.3">
      <c r="A809">
        <v>5299</v>
      </c>
      <c r="B809" s="1">
        <v>45768</v>
      </c>
      <c r="C809">
        <v>1051</v>
      </c>
      <c r="D809" t="s">
        <v>83</v>
      </c>
      <c r="E809" t="s">
        <v>29</v>
      </c>
      <c r="F809" t="s">
        <v>14</v>
      </c>
      <c r="G809" t="s">
        <v>30</v>
      </c>
      <c r="H809" t="s">
        <v>31</v>
      </c>
      <c r="I809">
        <v>5</v>
      </c>
      <c r="J809">
        <v>350</v>
      </c>
      <c r="K809">
        <v>15</v>
      </c>
      <c r="L809" t="s">
        <v>43</v>
      </c>
      <c r="M809">
        <f>I809*J809*(1-K809/100)</f>
        <v>1487.5</v>
      </c>
      <c r="N809" t="str">
        <f>TEXT(B809,"yyyy-mm")</f>
        <v>2025-04</v>
      </c>
    </row>
    <row r="810" spans="1:14" x14ac:dyDescent="0.3">
      <c r="A810">
        <v>5563</v>
      </c>
      <c r="B810" s="1">
        <v>45870</v>
      </c>
      <c r="C810">
        <v>1051</v>
      </c>
      <c r="D810" t="s">
        <v>83</v>
      </c>
      <c r="E810" t="s">
        <v>29</v>
      </c>
      <c r="F810" t="s">
        <v>14</v>
      </c>
      <c r="G810" t="s">
        <v>65</v>
      </c>
      <c r="H810" t="s">
        <v>16</v>
      </c>
      <c r="I810">
        <v>5</v>
      </c>
      <c r="J810">
        <v>12000</v>
      </c>
      <c r="K810">
        <v>10</v>
      </c>
      <c r="L810" t="s">
        <v>17</v>
      </c>
      <c r="M810">
        <f>I810*J810*(1-K810/100)</f>
        <v>54000</v>
      </c>
      <c r="N810" t="str">
        <f>TEXT(B810,"yyyy-mm")</f>
        <v>2025-08</v>
      </c>
    </row>
    <row r="811" spans="1:14" x14ac:dyDescent="0.3">
      <c r="A811">
        <v>5565</v>
      </c>
      <c r="B811" s="1">
        <v>45872</v>
      </c>
      <c r="C811">
        <v>1051</v>
      </c>
      <c r="D811" t="s">
        <v>83</v>
      </c>
      <c r="E811" t="s">
        <v>29</v>
      </c>
      <c r="F811" t="s">
        <v>14</v>
      </c>
      <c r="G811" t="s">
        <v>55</v>
      </c>
      <c r="H811" t="s">
        <v>16</v>
      </c>
      <c r="I811">
        <v>5</v>
      </c>
      <c r="J811">
        <v>2500</v>
      </c>
      <c r="K811">
        <v>0</v>
      </c>
      <c r="L811" t="s">
        <v>20</v>
      </c>
      <c r="M811">
        <f>I811*J811*(1-K811/100)</f>
        <v>12500</v>
      </c>
      <c r="N811" t="str">
        <f>TEXT(B811,"yyyy-mm")</f>
        <v>2025-08</v>
      </c>
    </row>
    <row r="812" spans="1:14" x14ac:dyDescent="0.3">
      <c r="A812">
        <v>5633</v>
      </c>
      <c r="B812" s="1">
        <v>45895</v>
      </c>
      <c r="C812">
        <v>1051</v>
      </c>
      <c r="D812" t="s">
        <v>83</v>
      </c>
      <c r="E812" t="s">
        <v>29</v>
      </c>
      <c r="F812" t="s">
        <v>14</v>
      </c>
      <c r="G812" t="s">
        <v>55</v>
      </c>
      <c r="H812" t="s">
        <v>16</v>
      </c>
      <c r="I812">
        <v>5</v>
      </c>
      <c r="J812">
        <v>2500</v>
      </c>
      <c r="K812">
        <v>0</v>
      </c>
      <c r="L812" t="s">
        <v>34</v>
      </c>
      <c r="M812">
        <f>I812*J812*(1-K812/100)</f>
        <v>12500</v>
      </c>
      <c r="N812" t="str">
        <f>TEXT(B812,"yyyy-mm")</f>
        <v>2025-08</v>
      </c>
    </row>
    <row r="813" spans="1:14" x14ac:dyDescent="0.3">
      <c r="A813">
        <v>5908</v>
      </c>
      <c r="B813" s="1">
        <v>45994</v>
      </c>
      <c r="C813">
        <v>1051</v>
      </c>
      <c r="D813" t="s">
        <v>83</v>
      </c>
      <c r="E813" t="s">
        <v>29</v>
      </c>
      <c r="F813" t="s">
        <v>14</v>
      </c>
      <c r="G813" t="s">
        <v>57</v>
      </c>
      <c r="H813" t="s">
        <v>38</v>
      </c>
      <c r="I813">
        <v>4</v>
      </c>
      <c r="J813">
        <v>16000</v>
      </c>
      <c r="K813">
        <v>15</v>
      </c>
      <c r="L813" t="s">
        <v>20</v>
      </c>
      <c r="M813">
        <f>I813*J813*(1-K813/100)</f>
        <v>54400</v>
      </c>
      <c r="N813" t="str">
        <f>TEXT(B813,"yyyy-mm")</f>
        <v>2025-12</v>
      </c>
    </row>
    <row r="814" spans="1:14" x14ac:dyDescent="0.3">
      <c r="A814">
        <v>5359</v>
      </c>
      <c r="B814" s="1">
        <v>45794</v>
      </c>
      <c r="C814">
        <v>1051</v>
      </c>
      <c r="D814" t="s">
        <v>83</v>
      </c>
      <c r="E814" t="s">
        <v>29</v>
      </c>
      <c r="F814" t="s">
        <v>14</v>
      </c>
      <c r="G814" t="s">
        <v>55</v>
      </c>
      <c r="H814" t="s">
        <v>16</v>
      </c>
      <c r="I814">
        <v>3</v>
      </c>
      <c r="J814">
        <v>2500</v>
      </c>
      <c r="K814">
        <v>0</v>
      </c>
      <c r="L814" t="s">
        <v>17</v>
      </c>
      <c r="M814">
        <f>I814*J814*(1-K814/100)</f>
        <v>7500</v>
      </c>
      <c r="N814" t="str">
        <f>TEXT(B814,"yyyy-mm")</f>
        <v>2025-05</v>
      </c>
    </row>
    <row r="815" spans="1:14" x14ac:dyDescent="0.3">
      <c r="A815">
        <v>5200</v>
      </c>
      <c r="B815" s="1">
        <v>45724</v>
      </c>
      <c r="C815">
        <v>1051</v>
      </c>
      <c r="D815" t="s">
        <v>83</v>
      </c>
      <c r="E815" t="s">
        <v>29</v>
      </c>
      <c r="F815" t="s">
        <v>14</v>
      </c>
      <c r="G815" t="s">
        <v>24</v>
      </c>
      <c r="H815" t="s">
        <v>16</v>
      </c>
      <c r="I815">
        <v>2</v>
      </c>
      <c r="J815">
        <v>22000</v>
      </c>
      <c r="K815">
        <v>0</v>
      </c>
      <c r="L815" t="s">
        <v>20</v>
      </c>
      <c r="M815">
        <f>I815*J815*(1-K815/100)</f>
        <v>44000</v>
      </c>
      <c r="N815" t="str">
        <f>TEXT(B815,"yyyy-mm")</f>
        <v>2025-03</v>
      </c>
    </row>
    <row r="816" spans="1:14" x14ac:dyDescent="0.3">
      <c r="A816">
        <v>5661</v>
      </c>
      <c r="B816" s="1">
        <v>45905</v>
      </c>
      <c r="C816">
        <v>1051</v>
      </c>
      <c r="D816" t="s">
        <v>83</v>
      </c>
      <c r="E816" t="s">
        <v>29</v>
      </c>
      <c r="F816" t="s">
        <v>14</v>
      </c>
      <c r="G816" t="s">
        <v>55</v>
      </c>
      <c r="H816" t="s">
        <v>16</v>
      </c>
      <c r="I816">
        <v>2</v>
      </c>
      <c r="J816">
        <v>2500</v>
      </c>
      <c r="K816">
        <v>15</v>
      </c>
      <c r="L816" t="s">
        <v>20</v>
      </c>
      <c r="M816">
        <f>I816*J816*(1-K816/100)</f>
        <v>4250</v>
      </c>
      <c r="N816" t="str">
        <f>TEXT(B816,"yyyy-mm")</f>
        <v>2025-09</v>
      </c>
    </row>
    <row r="817" spans="1:14" x14ac:dyDescent="0.3">
      <c r="A817">
        <v>5736</v>
      </c>
      <c r="B817" s="1">
        <v>45932</v>
      </c>
      <c r="C817">
        <v>1051</v>
      </c>
      <c r="D817" t="s">
        <v>83</v>
      </c>
      <c r="E817" t="s">
        <v>29</v>
      </c>
      <c r="F817" t="s">
        <v>14</v>
      </c>
      <c r="G817" t="s">
        <v>52</v>
      </c>
      <c r="H817" t="s">
        <v>16</v>
      </c>
      <c r="I817">
        <v>2</v>
      </c>
      <c r="J817">
        <v>6000</v>
      </c>
      <c r="K817">
        <v>5</v>
      </c>
      <c r="L817" t="s">
        <v>34</v>
      </c>
      <c r="M817">
        <f>I817*J817*(1-K817/100)</f>
        <v>11400</v>
      </c>
      <c r="N817" t="str">
        <f>TEXT(B817,"yyyy-mm")</f>
        <v>2025-10</v>
      </c>
    </row>
    <row r="818" spans="1:14" x14ac:dyDescent="0.3">
      <c r="A818">
        <v>5849</v>
      </c>
      <c r="B818" s="1">
        <v>45968</v>
      </c>
      <c r="C818">
        <v>1051</v>
      </c>
      <c r="D818" t="s">
        <v>83</v>
      </c>
      <c r="E818" t="s">
        <v>29</v>
      </c>
      <c r="F818" t="s">
        <v>14</v>
      </c>
      <c r="G818" t="s">
        <v>19</v>
      </c>
      <c r="H818" t="s">
        <v>16</v>
      </c>
      <c r="I818">
        <v>2</v>
      </c>
      <c r="J818">
        <v>9500</v>
      </c>
      <c r="K818">
        <v>0</v>
      </c>
      <c r="L818" t="s">
        <v>43</v>
      </c>
      <c r="M818">
        <f>I818*J818*(1-K818/100)</f>
        <v>19000</v>
      </c>
      <c r="N818" t="str">
        <f>TEXT(B818,"yyyy-mm")</f>
        <v>2025-11</v>
      </c>
    </row>
    <row r="819" spans="1:14" x14ac:dyDescent="0.3">
      <c r="A819">
        <v>5357</v>
      </c>
      <c r="B819" s="1">
        <v>45793</v>
      </c>
      <c r="C819">
        <v>1051</v>
      </c>
      <c r="D819" t="s">
        <v>83</v>
      </c>
      <c r="E819" t="s">
        <v>29</v>
      </c>
      <c r="F819" t="s">
        <v>14</v>
      </c>
      <c r="G819" t="s">
        <v>42</v>
      </c>
      <c r="H819" t="s">
        <v>31</v>
      </c>
      <c r="I819">
        <v>1</v>
      </c>
      <c r="J819">
        <v>200</v>
      </c>
      <c r="K819">
        <v>5</v>
      </c>
      <c r="L819" t="s">
        <v>25</v>
      </c>
      <c r="M819">
        <f>I819*J819*(1-K819/100)</f>
        <v>190</v>
      </c>
      <c r="N819" t="str">
        <f>TEXT(B819,"yyyy-mm")</f>
        <v>2025-05</v>
      </c>
    </row>
    <row r="820" spans="1:14" x14ac:dyDescent="0.3">
      <c r="A820">
        <v>5544</v>
      </c>
      <c r="B820" s="1">
        <v>45860</v>
      </c>
      <c r="C820">
        <v>1051</v>
      </c>
      <c r="D820" t="s">
        <v>83</v>
      </c>
      <c r="E820" t="s">
        <v>29</v>
      </c>
      <c r="F820" t="s">
        <v>14</v>
      </c>
      <c r="G820" t="s">
        <v>42</v>
      </c>
      <c r="H820" t="s">
        <v>31</v>
      </c>
      <c r="I820">
        <v>1</v>
      </c>
      <c r="J820">
        <v>200</v>
      </c>
      <c r="K820">
        <v>5</v>
      </c>
      <c r="L820" t="s">
        <v>25</v>
      </c>
      <c r="M820">
        <f>I820*J820*(1-K820/100)</f>
        <v>190</v>
      </c>
      <c r="N820" t="str">
        <f>TEXT(B820,"yyyy-mm")</f>
        <v>2025-07</v>
      </c>
    </row>
    <row r="821" spans="1:14" x14ac:dyDescent="0.3">
      <c r="A821">
        <v>5584</v>
      </c>
      <c r="B821" s="1">
        <v>45877</v>
      </c>
      <c r="C821">
        <v>1051</v>
      </c>
      <c r="D821" t="s">
        <v>83</v>
      </c>
      <c r="E821" t="s">
        <v>29</v>
      </c>
      <c r="F821" t="s">
        <v>14</v>
      </c>
      <c r="G821" t="s">
        <v>55</v>
      </c>
      <c r="H821" t="s">
        <v>16</v>
      </c>
      <c r="I821">
        <v>1</v>
      </c>
      <c r="J821">
        <v>2500</v>
      </c>
      <c r="K821">
        <v>0</v>
      </c>
      <c r="L821" t="s">
        <v>43</v>
      </c>
      <c r="M821">
        <f>I821*J821*(1-K821/100)</f>
        <v>2500</v>
      </c>
      <c r="N821" t="str">
        <f>TEXT(B821,"yyyy-mm")</f>
        <v>2025-08</v>
      </c>
    </row>
    <row r="822" spans="1:14" x14ac:dyDescent="0.3">
      <c r="A822">
        <v>5669</v>
      </c>
      <c r="B822" s="1">
        <v>45908</v>
      </c>
      <c r="C822">
        <v>1051</v>
      </c>
      <c r="D822" t="s">
        <v>83</v>
      </c>
      <c r="E822" t="s">
        <v>29</v>
      </c>
      <c r="F822" t="s">
        <v>14</v>
      </c>
      <c r="G822" t="s">
        <v>57</v>
      </c>
      <c r="H822" t="s">
        <v>38</v>
      </c>
      <c r="I822">
        <v>1</v>
      </c>
      <c r="J822">
        <v>16000</v>
      </c>
      <c r="K822">
        <v>0</v>
      </c>
      <c r="L822" t="s">
        <v>43</v>
      </c>
      <c r="M822">
        <f>I822*J822*(1-K822/100)</f>
        <v>16000</v>
      </c>
      <c r="N822" t="str">
        <f>TEXT(B822,"yyyy-mm")</f>
        <v>2025-09</v>
      </c>
    </row>
    <row r="823" spans="1:14" x14ac:dyDescent="0.3">
      <c r="A823">
        <v>5868</v>
      </c>
      <c r="B823" s="1">
        <v>45977</v>
      </c>
      <c r="C823">
        <v>1051</v>
      </c>
      <c r="D823" t="s">
        <v>83</v>
      </c>
      <c r="E823" t="s">
        <v>29</v>
      </c>
      <c r="F823" t="s">
        <v>14</v>
      </c>
      <c r="G823" t="s">
        <v>36</v>
      </c>
      <c r="H823" t="s">
        <v>16</v>
      </c>
      <c r="I823">
        <v>1</v>
      </c>
      <c r="J823">
        <v>55000</v>
      </c>
      <c r="K823">
        <v>0</v>
      </c>
      <c r="L823" t="s">
        <v>20</v>
      </c>
      <c r="M823" s="2">
        <f>I823*J823*(1-K823/100)</f>
        <v>55000</v>
      </c>
      <c r="N823" t="str">
        <f>TEXT(B823,"yyyy-mm")</f>
        <v>2025-11</v>
      </c>
    </row>
    <row r="824" spans="1:14" x14ac:dyDescent="0.3">
      <c r="A824">
        <v>5025</v>
      </c>
      <c r="B824" s="1">
        <v>45665</v>
      </c>
      <c r="C824">
        <v>1052</v>
      </c>
      <c r="D824" t="s">
        <v>39</v>
      </c>
      <c r="E824" t="s">
        <v>29</v>
      </c>
      <c r="F824" t="s">
        <v>14</v>
      </c>
      <c r="G824" t="s">
        <v>30</v>
      </c>
      <c r="H824" t="s">
        <v>31</v>
      </c>
      <c r="I824">
        <v>5</v>
      </c>
      <c r="J824">
        <v>350</v>
      </c>
      <c r="K824">
        <v>5</v>
      </c>
      <c r="L824" t="s">
        <v>34</v>
      </c>
      <c r="M824">
        <f>I824*J824*(1-K824/100)</f>
        <v>1662.5</v>
      </c>
      <c r="N824" t="str">
        <f>TEXT(B824,"yyyy-mm")</f>
        <v>2025-01</v>
      </c>
    </row>
    <row r="825" spans="1:14" x14ac:dyDescent="0.3">
      <c r="A825">
        <v>5221</v>
      </c>
      <c r="B825" s="1">
        <v>45739</v>
      </c>
      <c r="C825">
        <v>1052</v>
      </c>
      <c r="D825" t="s">
        <v>39</v>
      </c>
      <c r="E825" t="s">
        <v>29</v>
      </c>
      <c r="F825" t="s">
        <v>14</v>
      </c>
      <c r="G825" t="s">
        <v>24</v>
      </c>
      <c r="H825" t="s">
        <v>16</v>
      </c>
      <c r="I825">
        <v>5</v>
      </c>
      <c r="J825">
        <v>22000</v>
      </c>
      <c r="K825">
        <v>5</v>
      </c>
      <c r="L825" t="s">
        <v>43</v>
      </c>
      <c r="M825">
        <f>I825*J825*(1-K825/100)</f>
        <v>104500</v>
      </c>
      <c r="N825" t="str">
        <f>TEXT(B825,"yyyy-mm")</f>
        <v>2025-03</v>
      </c>
    </row>
    <row r="826" spans="1:14" x14ac:dyDescent="0.3">
      <c r="A826">
        <v>5435</v>
      </c>
      <c r="B826" s="1">
        <v>45824</v>
      </c>
      <c r="C826">
        <v>1052</v>
      </c>
      <c r="D826" t="s">
        <v>39</v>
      </c>
      <c r="E826" t="s">
        <v>29</v>
      </c>
      <c r="F826" t="s">
        <v>14</v>
      </c>
      <c r="G826" t="s">
        <v>30</v>
      </c>
      <c r="H826" t="s">
        <v>31</v>
      </c>
      <c r="I826">
        <v>5</v>
      </c>
      <c r="J826">
        <v>350</v>
      </c>
      <c r="K826">
        <v>10</v>
      </c>
      <c r="L826" t="s">
        <v>43</v>
      </c>
      <c r="M826">
        <f>I826*J826*(1-K826/100)</f>
        <v>1575</v>
      </c>
      <c r="N826" t="str">
        <f>TEXT(B826,"yyyy-mm")</f>
        <v>2025-06</v>
      </c>
    </row>
    <row r="827" spans="1:14" x14ac:dyDescent="0.3">
      <c r="A827">
        <v>5898</v>
      </c>
      <c r="B827" s="1">
        <v>45992</v>
      </c>
      <c r="C827">
        <v>1052</v>
      </c>
      <c r="D827" t="s">
        <v>39</v>
      </c>
      <c r="E827" t="s">
        <v>29</v>
      </c>
      <c r="F827" t="s">
        <v>14</v>
      </c>
      <c r="G827" t="s">
        <v>30</v>
      </c>
      <c r="H827" t="s">
        <v>31</v>
      </c>
      <c r="I827">
        <v>5</v>
      </c>
      <c r="J827">
        <v>350</v>
      </c>
      <c r="K827">
        <v>15</v>
      </c>
      <c r="L827" t="s">
        <v>17</v>
      </c>
      <c r="M827">
        <f>I827*J827*(1-K827/100)</f>
        <v>1487.5</v>
      </c>
      <c r="N827" t="str">
        <f>TEXT(B827,"yyyy-mm")</f>
        <v>2025-12</v>
      </c>
    </row>
    <row r="828" spans="1:14" x14ac:dyDescent="0.3">
      <c r="A828">
        <v>5010</v>
      </c>
      <c r="B828" s="1">
        <v>45660</v>
      </c>
      <c r="C828">
        <v>1052</v>
      </c>
      <c r="D828" t="s">
        <v>39</v>
      </c>
      <c r="E828" t="s">
        <v>29</v>
      </c>
      <c r="F828" t="s">
        <v>14</v>
      </c>
      <c r="G828" t="s">
        <v>40</v>
      </c>
      <c r="H828" t="s">
        <v>38</v>
      </c>
      <c r="I828">
        <v>4</v>
      </c>
      <c r="J828">
        <v>900</v>
      </c>
      <c r="K828">
        <v>0</v>
      </c>
      <c r="L828" t="s">
        <v>20</v>
      </c>
      <c r="M828">
        <f>I828*J828*(1-K828/100)</f>
        <v>3600</v>
      </c>
      <c r="N828" t="str">
        <f>TEXT(B828,"yyyy-mm")</f>
        <v>2025-01</v>
      </c>
    </row>
    <row r="829" spans="1:14" x14ac:dyDescent="0.3">
      <c r="A829">
        <v>5119</v>
      </c>
      <c r="B829" s="1">
        <v>45700</v>
      </c>
      <c r="C829">
        <v>1052</v>
      </c>
      <c r="D829" t="s">
        <v>39</v>
      </c>
      <c r="E829" t="s">
        <v>29</v>
      </c>
      <c r="F829" t="s">
        <v>14</v>
      </c>
      <c r="G829" t="s">
        <v>57</v>
      </c>
      <c r="H829" t="s">
        <v>38</v>
      </c>
      <c r="I829">
        <v>4</v>
      </c>
      <c r="J829">
        <v>16000</v>
      </c>
      <c r="K829">
        <v>10</v>
      </c>
      <c r="L829" t="s">
        <v>25</v>
      </c>
      <c r="M829">
        <f>I829*J829*(1-K829/100)</f>
        <v>57600</v>
      </c>
      <c r="N829" t="str">
        <f>TEXT(B829,"yyyy-mm")</f>
        <v>2025-02</v>
      </c>
    </row>
    <row r="830" spans="1:14" x14ac:dyDescent="0.3">
      <c r="A830">
        <v>5260</v>
      </c>
      <c r="B830" s="1">
        <v>45753</v>
      </c>
      <c r="C830">
        <v>1052</v>
      </c>
      <c r="D830" t="s">
        <v>39</v>
      </c>
      <c r="E830" t="s">
        <v>29</v>
      </c>
      <c r="F830" t="s">
        <v>14</v>
      </c>
      <c r="G830" t="s">
        <v>42</v>
      </c>
      <c r="H830" t="s">
        <v>31</v>
      </c>
      <c r="I830">
        <v>4</v>
      </c>
      <c r="J830">
        <v>200</v>
      </c>
      <c r="K830">
        <v>5</v>
      </c>
      <c r="L830" t="s">
        <v>25</v>
      </c>
      <c r="M830">
        <f>I830*J830*(1-K830/100)</f>
        <v>760</v>
      </c>
      <c r="N830" t="str">
        <f>TEXT(B830,"yyyy-mm")</f>
        <v>2025-04</v>
      </c>
    </row>
    <row r="831" spans="1:14" x14ac:dyDescent="0.3">
      <c r="A831">
        <v>5289</v>
      </c>
      <c r="B831" s="1">
        <v>45764</v>
      </c>
      <c r="C831">
        <v>1052</v>
      </c>
      <c r="D831" t="s">
        <v>39</v>
      </c>
      <c r="E831" t="s">
        <v>29</v>
      </c>
      <c r="F831" t="s">
        <v>14</v>
      </c>
      <c r="G831" t="s">
        <v>65</v>
      </c>
      <c r="H831" t="s">
        <v>16</v>
      </c>
      <c r="I831">
        <v>4</v>
      </c>
      <c r="J831">
        <v>12000</v>
      </c>
      <c r="K831">
        <v>0</v>
      </c>
      <c r="L831" t="s">
        <v>43</v>
      </c>
      <c r="M831">
        <f>I831*J831*(1-K831/100)</f>
        <v>48000</v>
      </c>
      <c r="N831" t="str">
        <f>TEXT(B831,"yyyy-mm")</f>
        <v>2025-04</v>
      </c>
    </row>
    <row r="832" spans="1:14" x14ac:dyDescent="0.3">
      <c r="A832">
        <v>5556</v>
      </c>
      <c r="B832" s="1">
        <v>45866</v>
      </c>
      <c r="C832">
        <v>1052</v>
      </c>
      <c r="D832" t="s">
        <v>39</v>
      </c>
      <c r="E832" t="s">
        <v>29</v>
      </c>
      <c r="F832" t="s">
        <v>14</v>
      </c>
      <c r="G832" t="s">
        <v>65</v>
      </c>
      <c r="H832" t="s">
        <v>16</v>
      </c>
      <c r="I832">
        <v>4</v>
      </c>
      <c r="J832">
        <v>12000</v>
      </c>
      <c r="K832">
        <v>0</v>
      </c>
      <c r="L832" t="s">
        <v>25</v>
      </c>
      <c r="M832">
        <f>I832*J832*(1-K832/100)</f>
        <v>48000</v>
      </c>
      <c r="N832" t="str">
        <f>TEXT(B832,"yyyy-mm")</f>
        <v>2025-07</v>
      </c>
    </row>
    <row r="833" spans="1:14" x14ac:dyDescent="0.3">
      <c r="A833">
        <v>5165</v>
      </c>
      <c r="B833" s="1">
        <v>45712</v>
      </c>
      <c r="C833">
        <v>1052</v>
      </c>
      <c r="D833" t="s">
        <v>39</v>
      </c>
      <c r="E833" t="s">
        <v>87</v>
      </c>
      <c r="F833" t="s">
        <v>14</v>
      </c>
      <c r="G833" t="s">
        <v>36</v>
      </c>
      <c r="H833" t="s">
        <v>16</v>
      </c>
      <c r="I833">
        <v>3</v>
      </c>
      <c r="J833">
        <v>55000</v>
      </c>
      <c r="K833">
        <v>0</v>
      </c>
      <c r="L833" t="s">
        <v>34</v>
      </c>
      <c r="M833">
        <f>I833*J833*(1-K833/100)</f>
        <v>165000</v>
      </c>
      <c r="N833" t="str">
        <f>TEXT(B833,"yyyy-mm")</f>
        <v>2025-02</v>
      </c>
    </row>
    <row r="834" spans="1:14" x14ac:dyDescent="0.3">
      <c r="A834">
        <v>5596</v>
      </c>
      <c r="B834" s="1">
        <v>45882</v>
      </c>
      <c r="C834">
        <v>1052</v>
      </c>
      <c r="D834" t="s">
        <v>39</v>
      </c>
      <c r="E834" t="s">
        <v>87</v>
      </c>
      <c r="F834" t="s">
        <v>14</v>
      </c>
      <c r="G834" t="s">
        <v>30</v>
      </c>
      <c r="H834" t="s">
        <v>31</v>
      </c>
      <c r="I834">
        <v>3</v>
      </c>
      <c r="J834">
        <v>350</v>
      </c>
      <c r="K834">
        <v>5</v>
      </c>
      <c r="L834" t="s">
        <v>43</v>
      </c>
      <c r="M834">
        <f>I834*J834*(1-K834/100)</f>
        <v>997.5</v>
      </c>
      <c r="N834" t="str">
        <f>TEXT(B834,"yyyy-mm")</f>
        <v>2025-08</v>
      </c>
    </row>
    <row r="835" spans="1:14" x14ac:dyDescent="0.3">
      <c r="A835">
        <v>5850</v>
      </c>
      <c r="B835" s="1">
        <v>45968</v>
      </c>
      <c r="C835">
        <v>1052</v>
      </c>
      <c r="D835" t="s">
        <v>39</v>
      </c>
      <c r="E835" t="s">
        <v>29</v>
      </c>
      <c r="F835" t="s">
        <v>14</v>
      </c>
      <c r="G835" t="s">
        <v>30</v>
      </c>
      <c r="H835" t="s">
        <v>31</v>
      </c>
      <c r="I835">
        <v>3</v>
      </c>
      <c r="J835">
        <v>350</v>
      </c>
      <c r="K835">
        <v>10</v>
      </c>
      <c r="L835" t="s">
        <v>43</v>
      </c>
      <c r="M835">
        <f>I835*J835*(1-K835/100)</f>
        <v>945</v>
      </c>
      <c r="N835" t="str">
        <f>TEXT(B835,"yyyy-mm")</f>
        <v>2025-11</v>
      </c>
    </row>
    <row r="836" spans="1:14" x14ac:dyDescent="0.3">
      <c r="A836">
        <v>5186</v>
      </c>
      <c r="B836" s="1">
        <v>45720</v>
      </c>
      <c r="C836">
        <v>1052</v>
      </c>
      <c r="D836" t="s">
        <v>39</v>
      </c>
      <c r="E836" t="s">
        <v>29</v>
      </c>
      <c r="F836" t="s">
        <v>14</v>
      </c>
      <c r="G836" t="s">
        <v>19</v>
      </c>
      <c r="H836" t="s">
        <v>16</v>
      </c>
      <c r="I836">
        <v>2</v>
      </c>
      <c r="J836">
        <v>9500</v>
      </c>
      <c r="K836">
        <v>5</v>
      </c>
      <c r="L836" t="s">
        <v>25</v>
      </c>
      <c r="M836">
        <f>I836*J836*(1-K836/100)</f>
        <v>18050</v>
      </c>
      <c r="N836" t="str">
        <f>TEXT(B836,"yyyy-mm")</f>
        <v>2025-03</v>
      </c>
    </row>
    <row r="837" spans="1:14" x14ac:dyDescent="0.3">
      <c r="A837">
        <v>5209</v>
      </c>
      <c r="B837" s="1">
        <v>45730</v>
      </c>
      <c r="C837">
        <v>1052</v>
      </c>
      <c r="D837" t="s">
        <v>39</v>
      </c>
      <c r="E837" t="s">
        <v>29</v>
      </c>
      <c r="F837" t="s">
        <v>14</v>
      </c>
      <c r="G837" t="s">
        <v>42</v>
      </c>
      <c r="H837" t="s">
        <v>31</v>
      </c>
      <c r="I837">
        <v>2</v>
      </c>
      <c r="J837">
        <v>200</v>
      </c>
      <c r="K837">
        <v>5</v>
      </c>
      <c r="L837" t="s">
        <v>17</v>
      </c>
      <c r="M837">
        <f>I837*J837*(1-K837/100)</f>
        <v>380</v>
      </c>
      <c r="N837" t="str">
        <f>TEXT(B837,"yyyy-mm")</f>
        <v>2025-03</v>
      </c>
    </row>
    <row r="838" spans="1:14" x14ac:dyDescent="0.3">
      <c r="A838">
        <v>5406</v>
      </c>
      <c r="B838" s="1">
        <v>45814</v>
      </c>
      <c r="C838">
        <v>1052</v>
      </c>
      <c r="D838" t="s">
        <v>39</v>
      </c>
      <c r="E838" t="s">
        <v>29</v>
      </c>
      <c r="F838" t="s">
        <v>14</v>
      </c>
      <c r="G838" t="s">
        <v>40</v>
      </c>
      <c r="H838" t="s">
        <v>38</v>
      </c>
      <c r="I838">
        <v>2</v>
      </c>
      <c r="J838">
        <v>900</v>
      </c>
      <c r="K838">
        <v>0</v>
      </c>
      <c r="L838" t="s">
        <v>20</v>
      </c>
      <c r="M838">
        <f>I838*J838*(1-K838/100)</f>
        <v>1800</v>
      </c>
      <c r="N838" t="str">
        <f>TEXT(B838,"yyyy-mm")</f>
        <v>2025-06</v>
      </c>
    </row>
    <row r="839" spans="1:14" x14ac:dyDescent="0.3">
      <c r="A839">
        <v>5434</v>
      </c>
      <c r="B839" s="1">
        <v>45824</v>
      </c>
      <c r="C839">
        <v>1052</v>
      </c>
      <c r="D839" t="s">
        <v>39</v>
      </c>
      <c r="E839" t="s">
        <v>29</v>
      </c>
      <c r="F839" t="s">
        <v>14</v>
      </c>
      <c r="G839" t="s">
        <v>55</v>
      </c>
      <c r="H839" t="s">
        <v>16</v>
      </c>
      <c r="I839">
        <v>2</v>
      </c>
      <c r="J839">
        <v>2500</v>
      </c>
      <c r="K839">
        <v>10</v>
      </c>
      <c r="L839" t="s">
        <v>34</v>
      </c>
      <c r="M839">
        <f>I839*J839*(1-K839/100)</f>
        <v>4500</v>
      </c>
      <c r="N839" t="str">
        <f>TEXT(B839,"yyyy-mm")</f>
        <v>2025-06</v>
      </c>
    </row>
    <row r="840" spans="1:14" x14ac:dyDescent="0.3">
      <c r="A840">
        <v>5798</v>
      </c>
      <c r="B840" s="1">
        <v>45953</v>
      </c>
      <c r="C840">
        <v>1052</v>
      </c>
      <c r="D840" t="s">
        <v>39</v>
      </c>
      <c r="E840" t="s">
        <v>29</v>
      </c>
      <c r="F840" t="s">
        <v>14</v>
      </c>
      <c r="G840" t="s">
        <v>65</v>
      </c>
      <c r="H840" t="s">
        <v>16</v>
      </c>
      <c r="I840">
        <v>2</v>
      </c>
      <c r="J840">
        <v>12000</v>
      </c>
      <c r="K840">
        <v>10</v>
      </c>
      <c r="L840" t="s">
        <v>20</v>
      </c>
      <c r="M840">
        <f>I840*J840*(1-K840/100)</f>
        <v>21600</v>
      </c>
      <c r="N840" t="str">
        <f>TEXT(B840,"yyyy-mm")</f>
        <v>2025-10</v>
      </c>
    </row>
    <row r="841" spans="1:14" x14ac:dyDescent="0.3">
      <c r="A841">
        <v>5853</v>
      </c>
      <c r="B841" s="1">
        <v>45969</v>
      </c>
      <c r="C841">
        <v>1052</v>
      </c>
      <c r="D841" t="s">
        <v>39</v>
      </c>
      <c r="E841" t="s">
        <v>29</v>
      </c>
      <c r="F841" t="s">
        <v>14</v>
      </c>
      <c r="G841" t="s">
        <v>65</v>
      </c>
      <c r="H841" t="s">
        <v>16</v>
      </c>
      <c r="I841">
        <v>2</v>
      </c>
      <c r="J841">
        <v>12000</v>
      </c>
      <c r="K841">
        <v>0</v>
      </c>
      <c r="L841" t="s">
        <v>34</v>
      </c>
      <c r="M841">
        <f>I841*J841*(1-K841/100)</f>
        <v>24000</v>
      </c>
      <c r="N841" t="str">
        <f>TEXT(B841,"yyyy-mm")</f>
        <v>2025-11</v>
      </c>
    </row>
    <row r="842" spans="1:14" x14ac:dyDescent="0.3">
      <c r="A842">
        <v>5014</v>
      </c>
      <c r="B842" s="1">
        <v>45661</v>
      </c>
      <c r="C842">
        <v>1052</v>
      </c>
      <c r="D842" t="s">
        <v>39</v>
      </c>
      <c r="E842" t="s">
        <v>29</v>
      </c>
      <c r="F842" t="s">
        <v>14</v>
      </c>
      <c r="G842" t="s">
        <v>15</v>
      </c>
      <c r="H842" t="s">
        <v>16</v>
      </c>
      <c r="I842">
        <v>1</v>
      </c>
      <c r="J842">
        <v>18000</v>
      </c>
      <c r="K842">
        <v>0</v>
      </c>
      <c r="L842" t="s">
        <v>43</v>
      </c>
      <c r="M842">
        <f>I842*J842*(1-K842/100)</f>
        <v>18000</v>
      </c>
      <c r="N842" t="str">
        <f>TEXT(B842,"yyyy-mm")</f>
        <v>2025-01</v>
      </c>
    </row>
    <row r="843" spans="1:14" x14ac:dyDescent="0.3">
      <c r="A843">
        <v>5047</v>
      </c>
      <c r="B843" s="1">
        <v>45673</v>
      </c>
      <c r="C843">
        <v>1052</v>
      </c>
      <c r="D843" t="s">
        <v>39</v>
      </c>
      <c r="E843" t="s">
        <v>29</v>
      </c>
      <c r="F843" t="s">
        <v>14</v>
      </c>
      <c r="G843" t="s">
        <v>55</v>
      </c>
      <c r="H843" t="s">
        <v>16</v>
      </c>
      <c r="I843">
        <v>1</v>
      </c>
      <c r="J843">
        <v>2500</v>
      </c>
      <c r="K843">
        <v>10</v>
      </c>
      <c r="L843" t="s">
        <v>43</v>
      </c>
      <c r="M843">
        <f>I843*J843*(1-K843/100)</f>
        <v>2250</v>
      </c>
      <c r="N843" t="str">
        <f>TEXT(B843,"yyyy-mm")</f>
        <v>2025-01</v>
      </c>
    </row>
    <row r="844" spans="1:14" x14ac:dyDescent="0.3">
      <c r="A844">
        <v>5252</v>
      </c>
      <c r="B844" s="1">
        <v>45749</v>
      </c>
      <c r="C844">
        <v>1052</v>
      </c>
      <c r="D844" t="s">
        <v>39</v>
      </c>
      <c r="E844" t="s">
        <v>29</v>
      </c>
      <c r="F844" t="s">
        <v>14</v>
      </c>
      <c r="G844" t="s">
        <v>24</v>
      </c>
      <c r="H844" t="s">
        <v>16</v>
      </c>
      <c r="I844">
        <v>1</v>
      </c>
      <c r="J844">
        <v>22000</v>
      </c>
      <c r="K844">
        <v>15</v>
      </c>
      <c r="L844" t="s">
        <v>34</v>
      </c>
      <c r="M844">
        <f>I844*J844*(1-K844/100)</f>
        <v>18700</v>
      </c>
      <c r="N844" t="str">
        <f>TEXT(B844,"yyyy-mm")</f>
        <v>2025-04</v>
      </c>
    </row>
    <row r="845" spans="1:14" x14ac:dyDescent="0.3">
      <c r="A845">
        <v>5413</v>
      </c>
      <c r="B845" s="1">
        <v>45816</v>
      </c>
      <c r="C845">
        <v>1053</v>
      </c>
      <c r="D845" t="s">
        <v>66</v>
      </c>
      <c r="E845" t="s">
        <v>13</v>
      </c>
      <c r="F845" t="s">
        <v>23</v>
      </c>
      <c r="G845" t="s">
        <v>65</v>
      </c>
      <c r="H845" t="s">
        <v>16</v>
      </c>
      <c r="I845">
        <v>5</v>
      </c>
      <c r="J845">
        <v>12000</v>
      </c>
      <c r="K845">
        <v>0</v>
      </c>
      <c r="L845" t="s">
        <v>20</v>
      </c>
      <c r="M845">
        <f>I845*J845*(1-K845/100)</f>
        <v>60000</v>
      </c>
      <c r="N845" t="str">
        <f>TEXT(B845,"yyyy-mm")</f>
        <v>2025-06</v>
      </c>
    </row>
    <row r="846" spans="1:14" x14ac:dyDescent="0.3">
      <c r="A846">
        <v>5492</v>
      </c>
      <c r="B846" s="1">
        <v>45845</v>
      </c>
      <c r="C846">
        <v>1053</v>
      </c>
      <c r="D846" t="s">
        <v>66</v>
      </c>
      <c r="E846" t="s">
        <v>87</v>
      </c>
      <c r="F846" t="s">
        <v>23</v>
      </c>
      <c r="G846" t="s">
        <v>24</v>
      </c>
      <c r="H846" t="s">
        <v>16</v>
      </c>
      <c r="I846">
        <v>5</v>
      </c>
      <c r="J846">
        <v>22000</v>
      </c>
      <c r="K846">
        <v>0</v>
      </c>
      <c r="L846" t="s">
        <v>17</v>
      </c>
      <c r="M846">
        <f>I846*J846*(1-K846/100)</f>
        <v>110000</v>
      </c>
      <c r="N846" t="str">
        <f>TEXT(B846,"yyyy-mm")</f>
        <v>2025-07</v>
      </c>
    </row>
    <row r="847" spans="1:14" x14ac:dyDescent="0.3">
      <c r="A847">
        <v>5524</v>
      </c>
      <c r="B847" s="1">
        <v>45853</v>
      </c>
      <c r="C847">
        <v>1053</v>
      </c>
      <c r="D847" t="s">
        <v>66</v>
      </c>
      <c r="E847" t="s">
        <v>13</v>
      </c>
      <c r="F847" t="s">
        <v>23</v>
      </c>
      <c r="G847" t="s">
        <v>24</v>
      </c>
      <c r="H847" t="s">
        <v>16</v>
      </c>
      <c r="I847">
        <v>5</v>
      </c>
      <c r="J847">
        <v>22000</v>
      </c>
      <c r="K847">
        <v>0</v>
      </c>
      <c r="L847" t="s">
        <v>34</v>
      </c>
      <c r="M847">
        <f>I847*J847*(1-K847/100)</f>
        <v>110000</v>
      </c>
      <c r="N847" t="str">
        <f>TEXT(B847,"yyyy-mm")</f>
        <v>2025-07</v>
      </c>
    </row>
    <row r="848" spans="1:14" x14ac:dyDescent="0.3">
      <c r="A848">
        <v>5643</v>
      </c>
      <c r="B848" s="1">
        <v>45897</v>
      </c>
      <c r="C848">
        <v>1053</v>
      </c>
      <c r="D848" t="s">
        <v>66</v>
      </c>
      <c r="E848" t="s">
        <v>13</v>
      </c>
      <c r="F848" t="s">
        <v>23</v>
      </c>
      <c r="G848" t="s">
        <v>55</v>
      </c>
      <c r="H848" t="s">
        <v>16</v>
      </c>
      <c r="I848">
        <v>5</v>
      </c>
      <c r="J848">
        <v>2500</v>
      </c>
      <c r="K848">
        <v>5</v>
      </c>
      <c r="L848" t="s">
        <v>34</v>
      </c>
      <c r="M848">
        <f>I848*J848*(1-K848/100)</f>
        <v>11875</v>
      </c>
      <c r="N848" t="str">
        <f>TEXT(B848,"yyyy-mm")</f>
        <v>2025-08</v>
      </c>
    </row>
    <row r="849" spans="1:14" x14ac:dyDescent="0.3">
      <c r="A849">
        <v>5071</v>
      </c>
      <c r="B849" s="1">
        <v>45683</v>
      </c>
      <c r="C849">
        <v>1053</v>
      </c>
      <c r="D849" t="s">
        <v>66</v>
      </c>
      <c r="E849" t="s">
        <v>13</v>
      </c>
      <c r="F849" t="s">
        <v>23</v>
      </c>
      <c r="G849" t="s">
        <v>36</v>
      </c>
      <c r="H849" t="s">
        <v>16</v>
      </c>
      <c r="I849">
        <v>3</v>
      </c>
      <c r="J849">
        <v>55000</v>
      </c>
      <c r="K849">
        <v>0</v>
      </c>
      <c r="L849" t="s">
        <v>17</v>
      </c>
      <c r="M849">
        <f>I849*J849*(1-K849/100)</f>
        <v>165000</v>
      </c>
      <c r="N849" t="str">
        <f>TEXT(B849,"yyyy-mm")</f>
        <v>2025-01</v>
      </c>
    </row>
    <row r="850" spans="1:14" x14ac:dyDescent="0.3">
      <c r="A850">
        <v>5358</v>
      </c>
      <c r="B850" s="1">
        <v>45794</v>
      </c>
      <c r="C850">
        <v>1053</v>
      </c>
      <c r="D850" t="s">
        <v>66</v>
      </c>
      <c r="E850" t="s">
        <v>13</v>
      </c>
      <c r="F850" t="s">
        <v>23</v>
      </c>
      <c r="G850" t="s">
        <v>37</v>
      </c>
      <c r="H850" t="s">
        <v>38</v>
      </c>
      <c r="I850">
        <v>3</v>
      </c>
      <c r="J850">
        <v>7500</v>
      </c>
      <c r="K850">
        <v>0</v>
      </c>
      <c r="L850" t="s">
        <v>25</v>
      </c>
      <c r="M850">
        <f>I850*J850*(1-K850/100)</f>
        <v>22500</v>
      </c>
      <c r="N850" t="str">
        <f>TEXT(B850,"yyyy-mm")</f>
        <v>2025-05</v>
      </c>
    </row>
    <row r="851" spans="1:14" x14ac:dyDescent="0.3">
      <c r="A851">
        <v>5598</v>
      </c>
      <c r="B851" s="1">
        <v>45882</v>
      </c>
      <c r="C851">
        <v>1053</v>
      </c>
      <c r="D851" t="s">
        <v>66</v>
      </c>
      <c r="E851" t="s">
        <v>13</v>
      </c>
      <c r="F851" t="s">
        <v>23</v>
      </c>
      <c r="G851" t="s">
        <v>30</v>
      </c>
      <c r="H851" t="s">
        <v>31</v>
      </c>
      <c r="I851">
        <v>3</v>
      </c>
      <c r="J851">
        <v>350</v>
      </c>
      <c r="K851">
        <v>10</v>
      </c>
      <c r="L851" t="s">
        <v>25</v>
      </c>
      <c r="M851">
        <f>I851*J851*(1-K851/100)</f>
        <v>945</v>
      </c>
      <c r="N851" t="str">
        <f>TEXT(B851,"yyyy-mm")</f>
        <v>2025-08</v>
      </c>
    </row>
    <row r="852" spans="1:14" x14ac:dyDescent="0.3">
      <c r="A852">
        <v>5927</v>
      </c>
      <c r="B852" s="1">
        <v>45999</v>
      </c>
      <c r="C852">
        <v>1053</v>
      </c>
      <c r="D852" t="s">
        <v>66</v>
      </c>
      <c r="E852" t="s">
        <v>13</v>
      </c>
      <c r="F852" t="s">
        <v>23</v>
      </c>
      <c r="G852" t="s">
        <v>65</v>
      </c>
      <c r="H852" t="s">
        <v>16</v>
      </c>
      <c r="I852">
        <v>2</v>
      </c>
      <c r="J852">
        <v>12000</v>
      </c>
      <c r="K852">
        <v>10</v>
      </c>
      <c r="L852" t="s">
        <v>17</v>
      </c>
      <c r="M852">
        <f>I852*J852*(1-K852/100)</f>
        <v>21600</v>
      </c>
      <c r="N852" t="str">
        <f>TEXT(B852,"yyyy-mm")</f>
        <v>2025-12</v>
      </c>
    </row>
    <row r="853" spans="1:14" x14ac:dyDescent="0.3">
      <c r="A853">
        <v>5108</v>
      </c>
      <c r="B853" s="1">
        <v>45697</v>
      </c>
      <c r="C853">
        <v>1053</v>
      </c>
      <c r="D853" t="s">
        <v>66</v>
      </c>
      <c r="E853" t="s">
        <v>13</v>
      </c>
      <c r="F853" t="s">
        <v>23</v>
      </c>
      <c r="G853" t="s">
        <v>40</v>
      </c>
      <c r="H853" t="s">
        <v>38</v>
      </c>
      <c r="I853">
        <v>1</v>
      </c>
      <c r="J853">
        <v>900</v>
      </c>
      <c r="K853">
        <v>5</v>
      </c>
      <c r="L853" t="s">
        <v>17</v>
      </c>
      <c r="M853">
        <f>I853*J853*(1-K853/100)</f>
        <v>855</v>
      </c>
      <c r="N853" t="str">
        <f>TEXT(B853,"yyyy-mm")</f>
        <v>2025-02</v>
      </c>
    </row>
    <row r="854" spans="1:14" x14ac:dyDescent="0.3">
      <c r="A854">
        <v>5334</v>
      </c>
      <c r="B854" s="1">
        <v>45779</v>
      </c>
      <c r="C854">
        <v>1053</v>
      </c>
      <c r="D854" t="s">
        <v>66</v>
      </c>
      <c r="E854" t="s">
        <v>13</v>
      </c>
      <c r="F854" t="s">
        <v>23</v>
      </c>
      <c r="G854" t="s">
        <v>55</v>
      </c>
      <c r="H854" t="s">
        <v>16</v>
      </c>
      <c r="I854">
        <v>1</v>
      </c>
      <c r="J854">
        <v>2500</v>
      </c>
      <c r="K854">
        <v>5</v>
      </c>
      <c r="L854" t="s">
        <v>34</v>
      </c>
      <c r="M854">
        <f>I854*J854*(1-K854/100)</f>
        <v>2375</v>
      </c>
      <c r="N854" t="str">
        <f>TEXT(B854,"yyyy-mm")</f>
        <v>2025-05</v>
      </c>
    </row>
    <row r="855" spans="1:14" x14ac:dyDescent="0.3">
      <c r="A855">
        <v>5593</v>
      </c>
      <c r="B855" s="1">
        <v>45882</v>
      </c>
      <c r="C855">
        <v>1053</v>
      </c>
      <c r="D855" t="s">
        <v>66</v>
      </c>
      <c r="E855" t="s">
        <v>13</v>
      </c>
      <c r="F855" t="s">
        <v>23</v>
      </c>
      <c r="G855" t="s">
        <v>36</v>
      </c>
      <c r="H855" t="s">
        <v>16</v>
      </c>
      <c r="I855">
        <v>1</v>
      </c>
      <c r="J855">
        <v>55000</v>
      </c>
      <c r="K855">
        <v>15</v>
      </c>
      <c r="L855" t="s">
        <v>20</v>
      </c>
      <c r="M855">
        <f>I855*J855*(1-K855/100)</f>
        <v>46750</v>
      </c>
      <c r="N855" t="str">
        <f>TEXT(B855,"yyyy-mm")</f>
        <v>2025-08</v>
      </c>
    </row>
    <row r="856" spans="1:14" x14ac:dyDescent="0.3">
      <c r="A856">
        <v>5701</v>
      </c>
      <c r="B856" s="1">
        <v>45922</v>
      </c>
      <c r="C856">
        <v>1053</v>
      </c>
      <c r="D856" t="s">
        <v>66</v>
      </c>
      <c r="E856" t="s">
        <v>13</v>
      </c>
      <c r="F856" t="s">
        <v>23</v>
      </c>
      <c r="G856" t="s">
        <v>55</v>
      </c>
      <c r="H856" t="s">
        <v>16</v>
      </c>
      <c r="I856">
        <v>1</v>
      </c>
      <c r="J856">
        <v>2500</v>
      </c>
      <c r="K856">
        <v>0</v>
      </c>
      <c r="L856" t="s">
        <v>17</v>
      </c>
      <c r="M856">
        <f>I856*J856*(1-K856/100)</f>
        <v>2500</v>
      </c>
      <c r="N856" t="str">
        <f>TEXT(B856,"yyyy-mm")</f>
        <v>2025-09</v>
      </c>
    </row>
    <row r="857" spans="1:14" x14ac:dyDescent="0.3">
      <c r="A857">
        <v>5805</v>
      </c>
      <c r="B857" s="1">
        <v>45957</v>
      </c>
      <c r="C857">
        <v>1053</v>
      </c>
      <c r="D857" t="s">
        <v>66</v>
      </c>
      <c r="E857" t="s">
        <v>13</v>
      </c>
      <c r="F857" t="s">
        <v>23</v>
      </c>
      <c r="G857" t="s">
        <v>65</v>
      </c>
      <c r="H857" t="s">
        <v>16</v>
      </c>
      <c r="I857">
        <v>1</v>
      </c>
      <c r="J857">
        <v>12000</v>
      </c>
      <c r="K857">
        <v>15</v>
      </c>
      <c r="L857" t="s">
        <v>43</v>
      </c>
      <c r="M857">
        <f>I857*J857*(1-K857/100)</f>
        <v>10200</v>
      </c>
      <c r="N857" t="str">
        <f>TEXT(B857,"yyyy-mm")</f>
        <v>2025-10</v>
      </c>
    </row>
    <row r="858" spans="1:14" x14ac:dyDescent="0.3">
      <c r="A858">
        <v>5842</v>
      </c>
      <c r="B858" s="1">
        <v>45967</v>
      </c>
      <c r="C858">
        <v>1053</v>
      </c>
      <c r="D858" t="s">
        <v>66</v>
      </c>
      <c r="E858" t="s">
        <v>13</v>
      </c>
      <c r="F858" t="s">
        <v>23</v>
      </c>
      <c r="G858" t="s">
        <v>42</v>
      </c>
      <c r="H858" t="s">
        <v>31</v>
      </c>
      <c r="I858">
        <v>1</v>
      </c>
      <c r="J858">
        <v>200</v>
      </c>
      <c r="K858">
        <v>0</v>
      </c>
      <c r="L858" t="s">
        <v>20</v>
      </c>
      <c r="M858">
        <f>I858*J858*(1-K858/100)</f>
        <v>200</v>
      </c>
      <c r="N858" t="str">
        <f>TEXT(B858,"yyyy-mm")</f>
        <v>2025-11</v>
      </c>
    </row>
    <row r="859" spans="1:14" x14ac:dyDescent="0.3">
      <c r="A859">
        <v>5791</v>
      </c>
      <c r="B859" s="1">
        <v>45951</v>
      </c>
      <c r="C859">
        <v>1054</v>
      </c>
      <c r="D859" t="s">
        <v>26</v>
      </c>
      <c r="E859" t="s">
        <v>22</v>
      </c>
      <c r="F859" t="s">
        <v>27</v>
      </c>
      <c r="G859" t="s">
        <v>55</v>
      </c>
      <c r="H859" t="s">
        <v>16</v>
      </c>
      <c r="I859">
        <v>5</v>
      </c>
      <c r="J859">
        <v>2500</v>
      </c>
      <c r="K859">
        <v>0</v>
      </c>
      <c r="L859" t="s">
        <v>34</v>
      </c>
      <c r="M859">
        <f>I859*J859*(1-K859/100)</f>
        <v>12500</v>
      </c>
      <c r="N859" t="str">
        <f>TEXT(B859,"yyyy-mm")</f>
        <v>2025-10</v>
      </c>
    </row>
    <row r="860" spans="1:14" x14ac:dyDescent="0.3">
      <c r="A860">
        <v>5940</v>
      </c>
      <c r="B860" s="1">
        <v>46004</v>
      </c>
      <c r="C860">
        <v>1054</v>
      </c>
      <c r="D860" t="s">
        <v>26</v>
      </c>
      <c r="E860" t="s">
        <v>22</v>
      </c>
      <c r="F860" t="s">
        <v>27</v>
      </c>
      <c r="G860" t="s">
        <v>57</v>
      </c>
      <c r="H860" t="s">
        <v>38</v>
      </c>
      <c r="I860">
        <v>5</v>
      </c>
      <c r="J860">
        <v>16000</v>
      </c>
      <c r="K860">
        <v>0</v>
      </c>
      <c r="L860" t="s">
        <v>34</v>
      </c>
      <c r="M860">
        <f>I860*J860*(1-K860/100)</f>
        <v>80000</v>
      </c>
      <c r="N860" t="str">
        <f>TEXT(B860,"yyyy-mm")</f>
        <v>2025-12</v>
      </c>
    </row>
    <row r="861" spans="1:14" x14ac:dyDescent="0.3">
      <c r="A861">
        <v>6000</v>
      </c>
      <c r="B861" s="1">
        <v>46022</v>
      </c>
      <c r="C861">
        <v>1054</v>
      </c>
      <c r="D861" t="s">
        <v>26</v>
      </c>
      <c r="E861" t="s">
        <v>22</v>
      </c>
      <c r="F861" t="s">
        <v>27</v>
      </c>
      <c r="G861" t="s">
        <v>24</v>
      </c>
      <c r="H861" t="s">
        <v>16</v>
      </c>
      <c r="I861">
        <v>5</v>
      </c>
      <c r="J861">
        <v>22000</v>
      </c>
      <c r="K861">
        <v>10</v>
      </c>
      <c r="L861" t="s">
        <v>34</v>
      </c>
      <c r="M861">
        <f>I861*J861*(1-K861/100)</f>
        <v>99000</v>
      </c>
      <c r="N861" t="str">
        <f>TEXT(B861,"yyyy-mm")</f>
        <v>2025-12</v>
      </c>
    </row>
    <row r="862" spans="1:14" x14ac:dyDescent="0.3">
      <c r="A862">
        <v>5515</v>
      </c>
      <c r="B862" s="1">
        <v>45851</v>
      </c>
      <c r="C862">
        <v>1054</v>
      </c>
      <c r="D862" t="s">
        <v>26</v>
      </c>
      <c r="E862" t="s">
        <v>22</v>
      </c>
      <c r="F862" t="s">
        <v>27</v>
      </c>
      <c r="G862" t="s">
        <v>65</v>
      </c>
      <c r="H862" t="s">
        <v>16</v>
      </c>
      <c r="I862">
        <v>4</v>
      </c>
      <c r="J862">
        <v>12000</v>
      </c>
      <c r="K862">
        <v>5</v>
      </c>
      <c r="L862" t="s">
        <v>34</v>
      </c>
      <c r="M862">
        <f>I862*J862*(1-K862/100)</f>
        <v>45600</v>
      </c>
      <c r="N862" t="str">
        <f>TEXT(B862,"yyyy-mm")</f>
        <v>2025-07</v>
      </c>
    </row>
    <row r="863" spans="1:14" x14ac:dyDescent="0.3">
      <c r="A863">
        <v>5084</v>
      </c>
      <c r="B863" s="1">
        <v>45689</v>
      </c>
      <c r="C863">
        <v>1054</v>
      </c>
      <c r="D863" t="s">
        <v>26</v>
      </c>
      <c r="E863" t="s">
        <v>22</v>
      </c>
      <c r="F863" t="s">
        <v>27</v>
      </c>
      <c r="G863" t="s">
        <v>42</v>
      </c>
      <c r="H863" t="s">
        <v>31</v>
      </c>
      <c r="I863">
        <v>3</v>
      </c>
      <c r="J863">
        <v>200</v>
      </c>
      <c r="K863">
        <v>0</v>
      </c>
      <c r="L863" t="s">
        <v>17</v>
      </c>
      <c r="M863">
        <f>I863*J863*(1-K863/100)</f>
        <v>600</v>
      </c>
      <c r="N863" t="str">
        <f>TEXT(B863,"yyyy-mm")</f>
        <v>2025-02</v>
      </c>
    </row>
    <row r="864" spans="1:14" x14ac:dyDescent="0.3">
      <c r="A864">
        <v>5171</v>
      </c>
      <c r="B864" s="1">
        <v>45714</v>
      </c>
      <c r="C864">
        <v>1054</v>
      </c>
      <c r="D864" t="s">
        <v>26</v>
      </c>
      <c r="E864" t="s">
        <v>22</v>
      </c>
      <c r="F864" t="s">
        <v>27</v>
      </c>
      <c r="G864" t="s">
        <v>57</v>
      </c>
      <c r="H864" t="s">
        <v>38</v>
      </c>
      <c r="I864">
        <v>3</v>
      </c>
      <c r="J864">
        <v>16000</v>
      </c>
      <c r="K864">
        <v>0</v>
      </c>
      <c r="L864" t="s">
        <v>17</v>
      </c>
      <c r="M864">
        <f>I864*J864*(1-K864/100)</f>
        <v>48000</v>
      </c>
      <c r="N864" t="str">
        <f>TEXT(B864,"yyyy-mm")</f>
        <v>2025-02</v>
      </c>
    </row>
    <row r="865" spans="1:14" x14ac:dyDescent="0.3">
      <c r="A865">
        <v>5578</v>
      </c>
      <c r="B865" s="1">
        <v>45876</v>
      </c>
      <c r="C865">
        <v>1054</v>
      </c>
      <c r="D865" t="s">
        <v>26</v>
      </c>
      <c r="E865" t="s">
        <v>22</v>
      </c>
      <c r="F865" t="s">
        <v>27</v>
      </c>
      <c r="G865" t="s">
        <v>19</v>
      </c>
      <c r="H865" t="s">
        <v>16</v>
      </c>
      <c r="I865">
        <v>3</v>
      </c>
      <c r="J865">
        <v>9500</v>
      </c>
      <c r="K865">
        <v>0</v>
      </c>
      <c r="L865" t="s">
        <v>34</v>
      </c>
      <c r="M865">
        <f>I865*J865*(1-K865/100)</f>
        <v>28500</v>
      </c>
      <c r="N865" t="str">
        <f>TEXT(B865,"yyyy-mm")</f>
        <v>2025-08</v>
      </c>
    </row>
    <row r="866" spans="1:14" x14ac:dyDescent="0.3">
      <c r="A866">
        <v>5612</v>
      </c>
      <c r="B866" s="1">
        <v>45888</v>
      </c>
      <c r="C866">
        <v>1054</v>
      </c>
      <c r="D866" t="s">
        <v>26</v>
      </c>
      <c r="E866" t="s">
        <v>22</v>
      </c>
      <c r="F866" t="s">
        <v>27</v>
      </c>
      <c r="G866" t="s">
        <v>15</v>
      </c>
      <c r="H866" t="s">
        <v>16</v>
      </c>
      <c r="I866">
        <v>3</v>
      </c>
      <c r="J866">
        <v>18000</v>
      </c>
      <c r="K866">
        <v>5</v>
      </c>
      <c r="L866" t="s">
        <v>34</v>
      </c>
      <c r="M866">
        <f>I866*J866*(1-K866/100)</f>
        <v>51300</v>
      </c>
      <c r="N866" t="str">
        <f>TEXT(B866,"yyyy-mm")</f>
        <v>2025-08</v>
      </c>
    </row>
    <row r="867" spans="1:14" x14ac:dyDescent="0.3">
      <c r="A867">
        <v>5761</v>
      </c>
      <c r="B867" s="1">
        <v>45941</v>
      </c>
      <c r="C867">
        <v>1054</v>
      </c>
      <c r="D867" t="s">
        <v>26</v>
      </c>
      <c r="E867" t="s">
        <v>22</v>
      </c>
      <c r="F867" t="s">
        <v>27</v>
      </c>
      <c r="G867" t="s">
        <v>36</v>
      </c>
      <c r="H867" t="s">
        <v>16</v>
      </c>
      <c r="I867">
        <v>3</v>
      </c>
      <c r="J867">
        <v>55000</v>
      </c>
      <c r="K867">
        <v>5</v>
      </c>
      <c r="L867" t="s">
        <v>20</v>
      </c>
      <c r="M867">
        <f>I867*J867*(1-K867/100)</f>
        <v>156750</v>
      </c>
      <c r="N867" t="str">
        <f>TEXT(B867,"yyyy-mm")</f>
        <v>2025-10</v>
      </c>
    </row>
    <row r="868" spans="1:14" x14ac:dyDescent="0.3">
      <c r="A868">
        <v>5024</v>
      </c>
      <c r="B868" s="1">
        <v>45664</v>
      </c>
      <c r="C868">
        <v>1054</v>
      </c>
      <c r="D868" t="s">
        <v>26</v>
      </c>
      <c r="E868" t="s">
        <v>22</v>
      </c>
      <c r="F868" t="s">
        <v>27</v>
      </c>
      <c r="G868" t="s">
        <v>42</v>
      </c>
      <c r="H868" t="s">
        <v>31</v>
      </c>
      <c r="I868">
        <v>2</v>
      </c>
      <c r="J868">
        <v>200</v>
      </c>
      <c r="K868">
        <v>0</v>
      </c>
      <c r="L868" t="s">
        <v>25</v>
      </c>
      <c r="M868">
        <f>I868*J868*(1-K868/100)</f>
        <v>400</v>
      </c>
      <c r="N868" t="str">
        <f>TEXT(B868,"yyyy-mm")</f>
        <v>2025-01</v>
      </c>
    </row>
    <row r="869" spans="1:14" x14ac:dyDescent="0.3">
      <c r="A869">
        <v>5075</v>
      </c>
      <c r="B869" s="1">
        <v>45685</v>
      </c>
      <c r="C869">
        <v>1054</v>
      </c>
      <c r="D869" t="s">
        <v>26</v>
      </c>
      <c r="E869" t="s">
        <v>22</v>
      </c>
      <c r="F869" t="s">
        <v>27</v>
      </c>
      <c r="G869" t="s">
        <v>15</v>
      </c>
      <c r="H869" t="s">
        <v>16</v>
      </c>
      <c r="I869">
        <v>2</v>
      </c>
      <c r="J869">
        <v>18000</v>
      </c>
      <c r="K869">
        <v>0</v>
      </c>
      <c r="L869" t="s">
        <v>20</v>
      </c>
      <c r="M869">
        <f>I869*J869*(1-K869/100)</f>
        <v>36000</v>
      </c>
      <c r="N869" t="str">
        <f>TEXT(B869,"yyyy-mm")</f>
        <v>2025-01</v>
      </c>
    </row>
    <row r="870" spans="1:14" x14ac:dyDescent="0.3">
      <c r="A870">
        <v>5089</v>
      </c>
      <c r="B870" s="1">
        <v>45691</v>
      </c>
      <c r="C870">
        <v>1054</v>
      </c>
      <c r="D870" t="s">
        <v>26</v>
      </c>
      <c r="E870" t="s">
        <v>22</v>
      </c>
      <c r="F870" t="s">
        <v>27</v>
      </c>
      <c r="G870" t="s">
        <v>15</v>
      </c>
      <c r="H870" t="s">
        <v>16</v>
      </c>
      <c r="I870">
        <v>2</v>
      </c>
      <c r="J870">
        <v>18000</v>
      </c>
      <c r="K870">
        <v>5</v>
      </c>
      <c r="L870" t="s">
        <v>20</v>
      </c>
      <c r="M870">
        <f>I870*J870*(1-K870/100)</f>
        <v>34200</v>
      </c>
      <c r="N870" t="str">
        <f>TEXT(B870,"yyyy-mm")</f>
        <v>2025-02</v>
      </c>
    </row>
    <row r="871" spans="1:14" x14ac:dyDescent="0.3">
      <c r="A871">
        <v>5332</v>
      </c>
      <c r="B871" s="1">
        <v>45779</v>
      </c>
      <c r="C871">
        <v>1054</v>
      </c>
      <c r="D871" t="s">
        <v>26</v>
      </c>
      <c r="E871" t="s">
        <v>22</v>
      </c>
      <c r="F871" t="s">
        <v>27</v>
      </c>
      <c r="G871" t="s">
        <v>24</v>
      </c>
      <c r="H871" t="s">
        <v>16</v>
      </c>
      <c r="I871">
        <v>2</v>
      </c>
      <c r="J871">
        <v>22000</v>
      </c>
      <c r="K871">
        <v>0</v>
      </c>
      <c r="L871" t="s">
        <v>20</v>
      </c>
      <c r="M871">
        <f>I871*J871*(1-K871/100)</f>
        <v>44000</v>
      </c>
      <c r="N871" t="str">
        <f>TEXT(B871,"yyyy-mm")</f>
        <v>2025-05</v>
      </c>
    </row>
    <row r="872" spans="1:14" x14ac:dyDescent="0.3">
      <c r="A872">
        <v>5257</v>
      </c>
      <c r="B872" s="1">
        <v>45751</v>
      </c>
      <c r="C872">
        <v>1054</v>
      </c>
      <c r="D872" t="s">
        <v>26</v>
      </c>
      <c r="E872" t="s">
        <v>22</v>
      </c>
      <c r="F872" t="s">
        <v>27</v>
      </c>
      <c r="G872" t="s">
        <v>65</v>
      </c>
      <c r="H872" t="s">
        <v>16</v>
      </c>
      <c r="I872">
        <v>1</v>
      </c>
      <c r="J872">
        <v>12000</v>
      </c>
      <c r="K872">
        <v>15</v>
      </c>
      <c r="L872" t="s">
        <v>25</v>
      </c>
      <c r="M872">
        <f>I872*J872*(1-K872/100)</f>
        <v>10200</v>
      </c>
      <c r="N872" t="str">
        <f>TEXT(B872,"yyyy-mm")</f>
        <v>2025-04</v>
      </c>
    </row>
    <row r="873" spans="1:14" x14ac:dyDescent="0.3">
      <c r="A873">
        <v>5392</v>
      </c>
      <c r="B873" s="1">
        <v>45809</v>
      </c>
      <c r="C873">
        <v>1054</v>
      </c>
      <c r="D873" t="s">
        <v>26</v>
      </c>
      <c r="E873" t="s">
        <v>87</v>
      </c>
      <c r="F873" t="s">
        <v>27</v>
      </c>
      <c r="G873" t="s">
        <v>55</v>
      </c>
      <c r="H873" t="s">
        <v>16</v>
      </c>
      <c r="I873">
        <v>1</v>
      </c>
      <c r="J873">
        <v>2500</v>
      </c>
      <c r="K873">
        <v>15</v>
      </c>
      <c r="L873" t="s">
        <v>34</v>
      </c>
      <c r="M873">
        <f>I873*J873*(1-K873/100)</f>
        <v>2125</v>
      </c>
      <c r="N873" t="str">
        <f>TEXT(B873,"yyyy-mm")</f>
        <v>2025-06</v>
      </c>
    </row>
    <row r="874" spans="1:14" x14ac:dyDescent="0.3">
      <c r="A874">
        <v>5452</v>
      </c>
      <c r="B874" s="1">
        <v>45831</v>
      </c>
      <c r="C874">
        <v>1054</v>
      </c>
      <c r="D874" t="s">
        <v>26</v>
      </c>
      <c r="E874" t="s">
        <v>22</v>
      </c>
      <c r="F874" t="s">
        <v>27</v>
      </c>
      <c r="G874" t="s">
        <v>15</v>
      </c>
      <c r="H874" t="s">
        <v>16</v>
      </c>
      <c r="I874">
        <v>1</v>
      </c>
      <c r="J874">
        <v>18000</v>
      </c>
      <c r="K874">
        <v>0</v>
      </c>
      <c r="L874" t="s">
        <v>34</v>
      </c>
      <c r="M874">
        <f>I874*J874*(1-K874/100)</f>
        <v>18000</v>
      </c>
      <c r="N874" t="str">
        <f>TEXT(B874,"yyyy-mm")</f>
        <v>2025-06</v>
      </c>
    </row>
    <row r="875" spans="1:14" x14ac:dyDescent="0.3">
      <c r="A875">
        <v>5742</v>
      </c>
      <c r="B875" s="1">
        <v>45936</v>
      </c>
      <c r="C875">
        <v>1054</v>
      </c>
      <c r="D875" t="s">
        <v>26</v>
      </c>
      <c r="E875" t="s">
        <v>22</v>
      </c>
      <c r="F875" t="s">
        <v>27</v>
      </c>
      <c r="G875" t="s">
        <v>42</v>
      </c>
      <c r="H875" t="s">
        <v>31</v>
      </c>
      <c r="I875">
        <v>1</v>
      </c>
      <c r="J875">
        <v>200</v>
      </c>
      <c r="K875">
        <v>5</v>
      </c>
      <c r="L875" t="s">
        <v>20</v>
      </c>
      <c r="M875">
        <f>I875*J875*(1-K875/100)</f>
        <v>190</v>
      </c>
      <c r="N875" t="str">
        <f>TEXT(B875,"yyyy-mm")</f>
        <v>2025-10</v>
      </c>
    </row>
    <row r="876" spans="1:14" x14ac:dyDescent="0.3">
      <c r="A876">
        <v>5813</v>
      </c>
      <c r="B876" s="1">
        <v>45959</v>
      </c>
      <c r="C876">
        <v>1055</v>
      </c>
      <c r="D876" t="s">
        <v>45</v>
      </c>
      <c r="E876" t="s">
        <v>22</v>
      </c>
      <c r="F876" t="s">
        <v>14</v>
      </c>
      <c r="G876" t="s">
        <v>30</v>
      </c>
      <c r="H876" t="s">
        <v>31</v>
      </c>
      <c r="I876">
        <v>5</v>
      </c>
      <c r="J876">
        <v>350</v>
      </c>
      <c r="K876">
        <v>0</v>
      </c>
      <c r="L876" t="s">
        <v>43</v>
      </c>
      <c r="M876">
        <f>I876*J876*(1-K876/100)</f>
        <v>1750</v>
      </c>
      <c r="N876" t="str">
        <f>TEXT(B876,"yyyy-mm")</f>
        <v>2025-10</v>
      </c>
    </row>
    <row r="877" spans="1:14" x14ac:dyDescent="0.3">
      <c r="A877">
        <v>5864</v>
      </c>
      <c r="B877" s="1">
        <v>45974</v>
      </c>
      <c r="C877">
        <v>1055</v>
      </c>
      <c r="D877" t="s">
        <v>45</v>
      </c>
      <c r="E877" t="s">
        <v>22</v>
      </c>
      <c r="F877" t="s">
        <v>14</v>
      </c>
      <c r="G877" t="s">
        <v>37</v>
      </c>
      <c r="H877" t="s">
        <v>38</v>
      </c>
      <c r="I877">
        <v>5</v>
      </c>
      <c r="J877">
        <v>7500</v>
      </c>
      <c r="K877">
        <v>15</v>
      </c>
      <c r="L877" t="s">
        <v>20</v>
      </c>
      <c r="M877">
        <f>I877*J877*(1-K877/100)</f>
        <v>31875</v>
      </c>
      <c r="N877" t="str">
        <f>TEXT(B877,"yyyy-mm")</f>
        <v>2025-11</v>
      </c>
    </row>
    <row r="878" spans="1:14" x14ac:dyDescent="0.3">
      <c r="A878">
        <v>5015</v>
      </c>
      <c r="B878" s="1">
        <v>45661</v>
      </c>
      <c r="C878">
        <v>1055</v>
      </c>
      <c r="D878" t="s">
        <v>45</v>
      </c>
      <c r="E878" t="s">
        <v>22</v>
      </c>
      <c r="F878" t="s">
        <v>14</v>
      </c>
      <c r="G878" t="s">
        <v>15</v>
      </c>
      <c r="H878" t="s">
        <v>16</v>
      </c>
      <c r="I878">
        <v>4</v>
      </c>
      <c r="J878">
        <v>18000</v>
      </c>
      <c r="K878">
        <v>0</v>
      </c>
      <c r="L878" t="s">
        <v>25</v>
      </c>
      <c r="M878">
        <f>I878*J878*(1-K878/100)</f>
        <v>72000</v>
      </c>
      <c r="N878" t="str">
        <f>TEXT(B878,"yyyy-mm")</f>
        <v>2025-01</v>
      </c>
    </row>
    <row r="879" spans="1:14" x14ac:dyDescent="0.3">
      <c r="A879">
        <v>5432</v>
      </c>
      <c r="B879" s="1">
        <v>45823</v>
      </c>
      <c r="C879">
        <v>1055</v>
      </c>
      <c r="D879" t="s">
        <v>45</v>
      </c>
      <c r="E879" t="s">
        <v>22</v>
      </c>
      <c r="F879" t="s">
        <v>14</v>
      </c>
      <c r="G879" t="s">
        <v>55</v>
      </c>
      <c r="H879" t="s">
        <v>16</v>
      </c>
      <c r="I879">
        <v>4</v>
      </c>
      <c r="J879">
        <v>2500</v>
      </c>
      <c r="K879">
        <v>0</v>
      </c>
      <c r="L879" t="s">
        <v>20</v>
      </c>
      <c r="M879">
        <f>I879*J879*(1-K879/100)</f>
        <v>10000</v>
      </c>
      <c r="N879" t="str">
        <f>TEXT(B879,"yyyy-mm")</f>
        <v>2025-06</v>
      </c>
    </row>
    <row r="880" spans="1:14" x14ac:dyDescent="0.3">
      <c r="A880">
        <v>5054</v>
      </c>
      <c r="B880" s="1">
        <v>45675</v>
      </c>
      <c r="C880">
        <v>1055</v>
      </c>
      <c r="D880" t="s">
        <v>45</v>
      </c>
      <c r="E880" t="s">
        <v>22</v>
      </c>
      <c r="F880" t="s">
        <v>14</v>
      </c>
      <c r="G880" t="s">
        <v>42</v>
      </c>
      <c r="H880" t="s">
        <v>31</v>
      </c>
      <c r="I880">
        <v>3</v>
      </c>
      <c r="J880">
        <v>200</v>
      </c>
      <c r="K880">
        <v>10</v>
      </c>
      <c r="L880" t="s">
        <v>20</v>
      </c>
      <c r="M880">
        <f>I880*J880*(1-K880/100)</f>
        <v>540</v>
      </c>
      <c r="N880" t="str">
        <f>TEXT(B880,"yyyy-mm")</f>
        <v>2025-01</v>
      </c>
    </row>
    <row r="881" spans="1:14" x14ac:dyDescent="0.3">
      <c r="A881">
        <v>5090</v>
      </c>
      <c r="B881" s="1">
        <v>45691</v>
      </c>
      <c r="C881">
        <v>1055</v>
      </c>
      <c r="D881" t="s">
        <v>45</v>
      </c>
      <c r="E881" t="s">
        <v>22</v>
      </c>
      <c r="F881" t="s">
        <v>14</v>
      </c>
      <c r="G881" t="s">
        <v>15</v>
      </c>
      <c r="H881" t="s">
        <v>16</v>
      </c>
      <c r="I881">
        <v>3</v>
      </c>
      <c r="J881">
        <v>18000</v>
      </c>
      <c r="K881">
        <v>5</v>
      </c>
      <c r="L881" t="s">
        <v>17</v>
      </c>
      <c r="M881">
        <f>I881*J881*(1-K881/100)</f>
        <v>51300</v>
      </c>
      <c r="N881" t="str">
        <f>TEXT(B881,"yyyy-mm")</f>
        <v>2025-02</v>
      </c>
    </row>
    <row r="882" spans="1:14" x14ac:dyDescent="0.3">
      <c r="A882">
        <v>5128</v>
      </c>
      <c r="B882" s="1">
        <v>45702</v>
      </c>
      <c r="C882">
        <v>1055</v>
      </c>
      <c r="D882" t="s">
        <v>45</v>
      </c>
      <c r="E882" t="s">
        <v>22</v>
      </c>
      <c r="F882" t="s">
        <v>14</v>
      </c>
      <c r="G882" t="s">
        <v>24</v>
      </c>
      <c r="H882" t="s">
        <v>16</v>
      </c>
      <c r="I882">
        <v>3</v>
      </c>
      <c r="J882">
        <v>22000</v>
      </c>
      <c r="K882">
        <v>0</v>
      </c>
      <c r="L882" t="s">
        <v>17</v>
      </c>
      <c r="M882">
        <f>I882*J882*(1-K882/100)</f>
        <v>66000</v>
      </c>
      <c r="N882" t="str">
        <f>TEXT(B882,"yyyy-mm")</f>
        <v>2025-02</v>
      </c>
    </row>
    <row r="883" spans="1:14" x14ac:dyDescent="0.3">
      <c r="A883">
        <v>5408</v>
      </c>
      <c r="B883" s="1">
        <v>45815</v>
      </c>
      <c r="C883">
        <v>1055</v>
      </c>
      <c r="D883" t="s">
        <v>45</v>
      </c>
      <c r="E883" t="s">
        <v>22</v>
      </c>
      <c r="F883" t="s">
        <v>14</v>
      </c>
      <c r="G883" t="s">
        <v>57</v>
      </c>
      <c r="H883" t="s">
        <v>38</v>
      </c>
      <c r="I883">
        <v>3</v>
      </c>
      <c r="J883">
        <v>16000</v>
      </c>
      <c r="K883">
        <v>0</v>
      </c>
      <c r="L883" t="s">
        <v>20</v>
      </c>
      <c r="M883">
        <f>I883*J883*(1-K883/100)</f>
        <v>48000</v>
      </c>
      <c r="N883" t="str">
        <f>TEXT(B883,"yyyy-mm")</f>
        <v>2025-06</v>
      </c>
    </row>
    <row r="884" spans="1:14" x14ac:dyDescent="0.3">
      <c r="A884">
        <v>5526</v>
      </c>
      <c r="B884" s="1">
        <v>45854</v>
      </c>
      <c r="C884">
        <v>1055</v>
      </c>
      <c r="D884" t="s">
        <v>45</v>
      </c>
      <c r="E884" t="s">
        <v>22</v>
      </c>
      <c r="F884" t="s">
        <v>14</v>
      </c>
      <c r="G884" t="s">
        <v>65</v>
      </c>
      <c r="H884" t="s">
        <v>16</v>
      </c>
      <c r="I884">
        <v>3</v>
      </c>
      <c r="J884">
        <v>12000</v>
      </c>
      <c r="K884">
        <v>0</v>
      </c>
      <c r="L884" t="s">
        <v>25</v>
      </c>
      <c r="M884">
        <f>I884*J884*(1-K884/100)</f>
        <v>36000</v>
      </c>
      <c r="N884" t="str">
        <f>TEXT(B884,"yyyy-mm")</f>
        <v>2025-07</v>
      </c>
    </row>
    <row r="885" spans="1:14" x14ac:dyDescent="0.3">
      <c r="A885">
        <v>5801</v>
      </c>
      <c r="B885" s="1">
        <v>45956</v>
      </c>
      <c r="C885">
        <v>1055</v>
      </c>
      <c r="D885" t="s">
        <v>45</v>
      </c>
      <c r="E885" t="s">
        <v>22</v>
      </c>
      <c r="F885" t="s">
        <v>14</v>
      </c>
      <c r="G885" t="s">
        <v>65</v>
      </c>
      <c r="H885" t="s">
        <v>16</v>
      </c>
      <c r="I885">
        <v>3</v>
      </c>
      <c r="J885">
        <v>12000</v>
      </c>
      <c r="K885">
        <v>5</v>
      </c>
      <c r="L885" t="s">
        <v>34</v>
      </c>
      <c r="M885">
        <f>I885*J885*(1-K885/100)</f>
        <v>34200</v>
      </c>
      <c r="N885" t="str">
        <f>TEXT(B885,"yyyy-mm")</f>
        <v>2025-10</v>
      </c>
    </row>
    <row r="886" spans="1:14" x14ac:dyDescent="0.3">
      <c r="A886">
        <v>5207</v>
      </c>
      <c r="B886" s="1">
        <v>45729</v>
      </c>
      <c r="C886">
        <v>1055</v>
      </c>
      <c r="D886" t="s">
        <v>45</v>
      </c>
      <c r="E886" t="s">
        <v>22</v>
      </c>
      <c r="F886" t="s">
        <v>14</v>
      </c>
      <c r="G886" t="s">
        <v>30</v>
      </c>
      <c r="H886" t="s">
        <v>31</v>
      </c>
      <c r="I886">
        <v>2</v>
      </c>
      <c r="J886">
        <v>350</v>
      </c>
      <c r="K886">
        <v>5</v>
      </c>
      <c r="L886" t="s">
        <v>43</v>
      </c>
      <c r="M886">
        <f>I886*J886*(1-K886/100)</f>
        <v>665</v>
      </c>
      <c r="N886" t="str">
        <f>TEXT(B886,"yyyy-mm")</f>
        <v>2025-03</v>
      </c>
    </row>
    <row r="887" spans="1:14" x14ac:dyDescent="0.3">
      <c r="A887">
        <v>5269</v>
      </c>
      <c r="B887" s="1">
        <v>45756</v>
      </c>
      <c r="C887">
        <v>1055</v>
      </c>
      <c r="D887" t="s">
        <v>45</v>
      </c>
      <c r="E887" t="s">
        <v>87</v>
      </c>
      <c r="F887" t="s">
        <v>14</v>
      </c>
      <c r="G887" t="s">
        <v>65</v>
      </c>
      <c r="H887" t="s">
        <v>16</v>
      </c>
      <c r="I887">
        <v>2</v>
      </c>
      <c r="J887">
        <v>12000</v>
      </c>
      <c r="K887">
        <v>0</v>
      </c>
      <c r="L887" t="s">
        <v>20</v>
      </c>
      <c r="M887">
        <f>I887*J887*(1-K887/100)</f>
        <v>24000</v>
      </c>
      <c r="N887" t="str">
        <f>TEXT(B887,"yyyy-mm")</f>
        <v>2025-04</v>
      </c>
    </row>
    <row r="888" spans="1:14" x14ac:dyDescent="0.3">
      <c r="A888">
        <v>5651</v>
      </c>
      <c r="B888" s="1">
        <v>45901</v>
      </c>
      <c r="C888">
        <v>1055</v>
      </c>
      <c r="D888" t="s">
        <v>45</v>
      </c>
      <c r="E888" t="s">
        <v>22</v>
      </c>
      <c r="F888" t="s">
        <v>14</v>
      </c>
      <c r="G888" t="s">
        <v>30</v>
      </c>
      <c r="H888" t="s">
        <v>31</v>
      </c>
      <c r="I888">
        <v>2</v>
      </c>
      <c r="J888">
        <v>350</v>
      </c>
      <c r="K888">
        <v>15</v>
      </c>
      <c r="L888" t="s">
        <v>17</v>
      </c>
      <c r="M888">
        <f>I888*J888*(1-K888/100)</f>
        <v>595</v>
      </c>
      <c r="N888" t="str">
        <f>TEXT(B888,"yyyy-mm")</f>
        <v>2025-09</v>
      </c>
    </row>
    <row r="889" spans="1:14" x14ac:dyDescent="0.3">
      <c r="A889">
        <v>5987</v>
      </c>
      <c r="B889" s="1">
        <v>46017</v>
      </c>
      <c r="C889">
        <v>1055</v>
      </c>
      <c r="D889" t="s">
        <v>45</v>
      </c>
      <c r="E889" t="s">
        <v>22</v>
      </c>
      <c r="F889" t="s">
        <v>14</v>
      </c>
      <c r="G889" t="s">
        <v>55</v>
      </c>
      <c r="H889" t="s">
        <v>16</v>
      </c>
      <c r="I889">
        <v>2</v>
      </c>
      <c r="J889">
        <v>2500</v>
      </c>
      <c r="K889">
        <v>10</v>
      </c>
      <c r="L889" t="s">
        <v>43</v>
      </c>
      <c r="M889">
        <f>I889*J889*(1-K889/100)</f>
        <v>4500</v>
      </c>
      <c r="N889" t="str">
        <f>TEXT(B889,"yyyy-mm")</f>
        <v>2025-12</v>
      </c>
    </row>
    <row r="890" spans="1:14" x14ac:dyDescent="0.3">
      <c r="A890">
        <v>5768</v>
      </c>
      <c r="B890" s="1">
        <v>45944</v>
      </c>
      <c r="C890">
        <v>1055</v>
      </c>
      <c r="D890" t="s">
        <v>45</v>
      </c>
      <c r="E890" t="s">
        <v>22</v>
      </c>
      <c r="F890" t="s">
        <v>14</v>
      </c>
      <c r="G890" t="s">
        <v>42</v>
      </c>
      <c r="H890" t="s">
        <v>31</v>
      </c>
      <c r="I890">
        <v>1</v>
      </c>
      <c r="J890">
        <v>200</v>
      </c>
      <c r="K890">
        <v>10</v>
      </c>
      <c r="L890" t="s">
        <v>34</v>
      </c>
      <c r="M890">
        <f>I890*J890*(1-K890/100)</f>
        <v>180</v>
      </c>
      <c r="N890" t="str">
        <f>TEXT(B890,"yyyy-mm")</f>
        <v>2025-10</v>
      </c>
    </row>
    <row r="891" spans="1:14" x14ac:dyDescent="0.3">
      <c r="A891">
        <v>5814</v>
      </c>
      <c r="B891" s="1">
        <v>45960</v>
      </c>
      <c r="C891">
        <v>1055</v>
      </c>
      <c r="D891" t="s">
        <v>45</v>
      </c>
      <c r="E891" t="s">
        <v>22</v>
      </c>
      <c r="F891" t="s">
        <v>14</v>
      </c>
      <c r="G891" t="s">
        <v>15</v>
      </c>
      <c r="H891" t="s">
        <v>16</v>
      </c>
      <c r="I891">
        <v>1</v>
      </c>
      <c r="J891">
        <v>18000</v>
      </c>
      <c r="K891">
        <v>0</v>
      </c>
      <c r="L891" t="s">
        <v>20</v>
      </c>
      <c r="M891">
        <f>I891*J891*(1-K891/100)</f>
        <v>18000</v>
      </c>
      <c r="N891" t="str">
        <f>TEXT(B891,"yyyy-mm")</f>
        <v>2025-10</v>
      </c>
    </row>
    <row r="892" spans="1:14" x14ac:dyDescent="0.3">
      <c r="A892">
        <v>5323</v>
      </c>
      <c r="B892" s="1">
        <v>45775</v>
      </c>
      <c r="C892">
        <v>1056</v>
      </c>
      <c r="D892" t="s">
        <v>84</v>
      </c>
      <c r="E892" t="s">
        <v>33</v>
      </c>
      <c r="F892" t="s">
        <v>14</v>
      </c>
      <c r="G892" t="s">
        <v>24</v>
      </c>
      <c r="H892" t="s">
        <v>16</v>
      </c>
      <c r="I892">
        <v>5</v>
      </c>
      <c r="J892">
        <v>22000</v>
      </c>
      <c r="K892">
        <v>0</v>
      </c>
      <c r="L892" t="s">
        <v>25</v>
      </c>
      <c r="M892">
        <f>I892*J892*(1-K892/100)</f>
        <v>110000</v>
      </c>
      <c r="N892" t="str">
        <f>TEXT(B892,"yyyy-mm")</f>
        <v>2025-04</v>
      </c>
    </row>
    <row r="893" spans="1:14" x14ac:dyDescent="0.3">
      <c r="A893">
        <v>5690</v>
      </c>
      <c r="B893" s="1">
        <v>45919</v>
      </c>
      <c r="C893">
        <v>1056</v>
      </c>
      <c r="D893" t="s">
        <v>84</v>
      </c>
      <c r="E893" t="s">
        <v>33</v>
      </c>
      <c r="F893" t="s">
        <v>14</v>
      </c>
      <c r="G893" t="s">
        <v>42</v>
      </c>
      <c r="H893" t="s">
        <v>31</v>
      </c>
      <c r="I893">
        <v>5</v>
      </c>
      <c r="J893">
        <v>200</v>
      </c>
      <c r="K893">
        <v>0</v>
      </c>
      <c r="L893" t="s">
        <v>20</v>
      </c>
      <c r="M893">
        <f>I893*J893*(1-K893/100)</f>
        <v>1000</v>
      </c>
      <c r="N893" t="str">
        <f>TEXT(B893,"yyyy-mm")</f>
        <v>2025-09</v>
      </c>
    </row>
    <row r="894" spans="1:14" x14ac:dyDescent="0.3">
      <c r="A894">
        <v>5714</v>
      </c>
      <c r="B894" s="1">
        <v>45926</v>
      </c>
      <c r="C894">
        <v>1056</v>
      </c>
      <c r="D894" t="s">
        <v>84</v>
      </c>
      <c r="E894" t="s">
        <v>33</v>
      </c>
      <c r="F894" t="s">
        <v>14</v>
      </c>
      <c r="G894" t="s">
        <v>30</v>
      </c>
      <c r="H894" t="s">
        <v>31</v>
      </c>
      <c r="I894">
        <v>5</v>
      </c>
      <c r="J894">
        <v>350</v>
      </c>
      <c r="K894">
        <v>5</v>
      </c>
      <c r="L894" t="s">
        <v>34</v>
      </c>
      <c r="M894">
        <f>I894*J894*(1-K894/100)</f>
        <v>1662.5</v>
      </c>
      <c r="N894" t="str">
        <f>TEXT(B894,"yyyy-mm")</f>
        <v>2025-09</v>
      </c>
    </row>
    <row r="895" spans="1:14" x14ac:dyDescent="0.3">
      <c r="A895">
        <v>5216</v>
      </c>
      <c r="B895" s="1">
        <v>45734</v>
      </c>
      <c r="C895">
        <v>1056</v>
      </c>
      <c r="D895" t="s">
        <v>84</v>
      </c>
      <c r="E895" t="s">
        <v>33</v>
      </c>
      <c r="F895" t="s">
        <v>14</v>
      </c>
      <c r="G895" t="s">
        <v>30</v>
      </c>
      <c r="H895" t="s">
        <v>31</v>
      </c>
      <c r="I895">
        <v>4</v>
      </c>
      <c r="J895">
        <v>350</v>
      </c>
      <c r="K895">
        <v>0</v>
      </c>
      <c r="L895" t="s">
        <v>20</v>
      </c>
      <c r="M895">
        <f>I895*J895*(1-K895/100)</f>
        <v>1400</v>
      </c>
      <c r="N895" t="str">
        <f>TEXT(B895,"yyyy-mm")</f>
        <v>2025-03</v>
      </c>
    </row>
    <row r="896" spans="1:14" x14ac:dyDescent="0.3">
      <c r="A896">
        <v>5233</v>
      </c>
      <c r="B896" s="1">
        <v>45744</v>
      </c>
      <c r="C896">
        <v>1056</v>
      </c>
      <c r="D896" t="s">
        <v>84</v>
      </c>
      <c r="E896" t="s">
        <v>33</v>
      </c>
      <c r="F896" t="s">
        <v>14</v>
      </c>
      <c r="G896" t="s">
        <v>30</v>
      </c>
      <c r="H896" t="s">
        <v>31</v>
      </c>
      <c r="I896">
        <v>4</v>
      </c>
      <c r="J896">
        <v>350</v>
      </c>
      <c r="K896">
        <v>0</v>
      </c>
      <c r="L896" t="s">
        <v>25</v>
      </c>
      <c r="M896">
        <f>I896*J896*(1-K896/100)</f>
        <v>1400</v>
      </c>
      <c r="N896" t="str">
        <f>TEXT(B896,"yyyy-mm")</f>
        <v>2025-03</v>
      </c>
    </row>
    <row r="897" spans="1:14" x14ac:dyDescent="0.3">
      <c r="A897">
        <v>5379</v>
      </c>
      <c r="B897" s="1">
        <v>45804</v>
      </c>
      <c r="C897">
        <v>1056</v>
      </c>
      <c r="D897" t="s">
        <v>84</v>
      </c>
      <c r="E897" t="s">
        <v>33</v>
      </c>
      <c r="F897" t="s">
        <v>14</v>
      </c>
      <c r="G897" t="s">
        <v>15</v>
      </c>
      <c r="H897" t="s">
        <v>16</v>
      </c>
      <c r="I897">
        <v>4</v>
      </c>
      <c r="J897">
        <v>18000</v>
      </c>
      <c r="K897">
        <v>5</v>
      </c>
      <c r="L897" t="s">
        <v>34</v>
      </c>
      <c r="M897">
        <f>I897*J897*(1-K897/100)</f>
        <v>68400</v>
      </c>
      <c r="N897" t="str">
        <f>TEXT(B897,"yyyy-mm")</f>
        <v>2025-05</v>
      </c>
    </row>
    <row r="898" spans="1:14" x14ac:dyDescent="0.3">
      <c r="A898">
        <v>5405</v>
      </c>
      <c r="B898" s="1">
        <v>45814</v>
      </c>
      <c r="C898">
        <v>1056</v>
      </c>
      <c r="D898" t="s">
        <v>84</v>
      </c>
      <c r="E898" t="s">
        <v>33</v>
      </c>
      <c r="F898" t="s">
        <v>14</v>
      </c>
      <c r="G898" t="s">
        <v>55</v>
      </c>
      <c r="H898" t="s">
        <v>16</v>
      </c>
      <c r="I898">
        <v>4</v>
      </c>
      <c r="J898">
        <v>2500</v>
      </c>
      <c r="K898">
        <v>5</v>
      </c>
      <c r="L898" t="s">
        <v>25</v>
      </c>
      <c r="M898">
        <f>I898*J898*(1-K898/100)</f>
        <v>9500</v>
      </c>
      <c r="N898" t="str">
        <f>TEXT(B898,"yyyy-mm")</f>
        <v>2025-06</v>
      </c>
    </row>
    <row r="899" spans="1:14" x14ac:dyDescent="0.3">
      <c r="A899">
        <v>5928</v>
      </c>
      <c r="B899" s="1">
        <v>45999</v>
      </c>
      <c r="C899">
        <v>1056</v>
      </c>
      <c r="D899" t="s">
        <v>84</v>
      </c>
      <c r="E899" t="s">
        <v>33</v>
      </c>
      <c r="F899" t="s">
        <v>14</v>
      </c>
      <c r="G899" t="s">
        <v>15</v>
      </c>
      <c r="H899" t="s">
        <v>16</v>
      </c>
      <c r="I899">
        <v>4</v>
      </c>
      <c r="J899">
        <v>18000</v>
      </c>
      <c r="K899">
        <v>0</v>
      </c>
      <c r="L899" t="s">
        <v>34</v>
      </c>
      <c r="M899">
        <f>I899*J899*(1-K899/100)</f>
        <v>72000</v>
      </c>
      <c r="N899" t="str">
        <f>TEXT(B899,"yyyy-mm")</f>
        <v>2025-12</v>
      </c>
    </row>
    <row r="900" spans="1:14" x14ac:dyDescent="0.3">
      <c r="A900">
        <v>5230</v>
      </c>
      <c r="B900" s="1">
        <v>45743</v>
      </c>
      <c r="C900">
        <v>1056</v>
      </c>
      <c r="D900" t="s">
        <v>84</v>
      </c>
      <c r="E900" t="s">
        <v>87</v>
      </c>
      <c r="F900" t="s">
        <v>14</v>
      </c>
      <c r="G900" t="s">
        <v>37</v>
      </c>
      <c r="H900" t="s">
        <v>38</v>
      </c>
      <c r="I900">
        <v>3</v>
      </c>
      <c r="J900">
        <v>7500</v>
      </c>
      <c r="K900">
        <v>0</v>
      </c>
      <c r="L900" t="s">
        <v>43</v>
      </c>
      <c r="M900">
        <f>I900*J900*(1-K900/100)</f>
        <v>22500</v>
      </c>
      <c r="N900" t="str">
        <f>TEXT(B900,"yyyy-mm")</f>
        <v>2025-03</v>
      </c>
    </row>
    <row r="901" spans="1:14" x14ac:dyDescent="0.3">
      <c r="A901">
        <v>5648</v>
      </c>
      <c r="B901" s="1">
        <v>45900</v>
      </c>
      <c r="C901">
        <v>1056</v>
      </c>
      <c r="D901" t="s">
        <v>84</v>
      </c>
      <c r="E901" t="s">
        <v>33</v>
      </c>
      <c r="F901" t="s">
        <v>14</v>
      </c>
      <c r="G901" t="s">
        <v>55</v>
      </c>
      <c r="H901" t="s">
        <v>16</v>
      </c>
      <c r="I901">
        <v>3</v>
      </c>
      <c r="J901">
        <v>2500</v>
      </c>
      <c r="K901">
        <v>0</v>
      </c>
      <c r="L901" t="s">
        <v>43</v>
      </c>
      <c r="M901">
        <f>I901*J901*(1-K901/100)</f>
        <v>7500</v>
      </c>
      <c r="N901" t="str">
        <f>TEXT(B901,"yyyy-mm")</f>
        <v>2025-08</v>
      </c>
    </row>
    <row r="902" spans="1:14" x14ac:dyDescent="0.3">
      <c r="A902">
        <v>5677</v>
      </c>
      <c r="B902" s="1">
        <v>45912</v>
      </c>
      <c r="C902">
        <v>1056</v>
      </c>
      <c r="D902" t="s">
        <v>84</v>
      </c>
      <c r="E902" t="s">
        <v>33</v>
      </c>
      <c r="F902" t="s">
        <v>14</v>
      </c>
      <c r="G902" t="s">
        <v>30</v>
      </c>
      <c r="H902" t="s">
        <v>31</v>
      </c>
      <c r="I902">
        <v>3</v>
      </c>
      <c r="J902">
        <v>350</v>
      </c>
      <c r="K902">
        <v>0</v>
      </c>
      <c r="L902" t="s">
        <v>43</v>
      </c>
      <c r="M902">
        <f>I902*J902*(1-K902/100)</f>
        <v>1050</v>
      </c>
      <c r="N902" t="str">
        <f>TEXT(B902,"yyyy-mm")</f>
        <v>2025-09</v>
      </c>
    </row>
    <row r="903" spans="1:14" x14ac:dyDescent="0.3">
      <c r="A903">
        <v>5672</v>
      </c>
      <c r="B903" s="1">
        <v>45910</v>
      </c>
      <c r="C903">
        <v>1056</v>
      </c>
      <c r="D903" t="s">
        <v>84</v>
      </c>
      <c r="E903" t="s">
        <v>33</v>
      </c>
      <c r="F903" t="s">
        <v>14</v>
      </c>
      <c r="G903" t="s">
        <v>57</v>
      </c>
      <c r="H903" t="s">
        <v>38</v>
      </c>
      <c r="I903">
        <v>2</v>
      </c>
      <c r="J903">
        <v>16000</v>
      </c>
      <c r="K903">
        <v>0</v>
      </c>
      <c r="L903" t="s">
        <v>43</v>
      </c>
      <c r="M903">
        <f>I903*J903*(1-K903/100)</f>
        <v>32000</v>
      </c>
      <c r="N903" t="str">
        <f>TEXT(B903,"yyyy-mm")</f>
        <v>2025-09</v>
      </c>
    </row>
    <row r="904" spans="1:14" x14ac:dyDescent="0.3">
      <c r="A904">
        <v>5264</v>
      </c>
      <c r="B904" s="1">
        <v>45756</v>
      </c>
      <c r="C904">
        <v>1056</v>
      </c>
      <c r="D904" t="s">
        <v>84</v>
      </c>
      <c r="E904" t="s">
        <v>33</v>
      </c>
      <c r="F904" t="s">
        <v>14</v>
      </c>
      <c r="G904" t="s">
        <v>65</v>
      </c>
      <c r="H904" t="s">
        <v>16</v>
      </c>
      <c r="I904">
        <v>1</v>
      </c>
      <c r="J904">
        <v>12000</v>
      </c>
      <c r="K904">
        <v>5</v>
      </c>
      <c r="L904" t="s">
        <v>25</v>
      </c>
      <c r="M904">
        <f>I904*J904*(1-K904/100)</f>
        <v>11400</v>
      </c>
      <c r="N904" t="str">
        <f>TEXT(B904,"yyyy-mm")</f>
        <v>2025-04</v>
      </c>
    </row>
    <row r="905" spans="1:14" x14ac:dyDescent="0.3">
      <c r="A905">
        <v>5451</v>
      </c>
      <c r="B905" s="1">
        <v>45831</v>
      </c>
      <c r="C905">
        <v>1056</v>
      </c>
      <c r="D905" t="s">
        <v>84</v>
      </c>
      <c r="E905" t="s">
        <v>33</v>
      </c>
      <c r="F905" t="s">
        <v>14</v>
      </c>
      <c r="G905" t="s">
        <v>65</v>
      </c>
      <c r="H905" t="s">
        <v>16</v>
      </c>
      <c r="I905">
        <v>1</v>
      </c>
      <c r="J905">
        <v>12000</v>
      </c>
      <c r="K905">
        <v>15</v>
      </c>
      <c r="L905" t="s">
        <v>17</v>
      </c>
      <c r="M905">
        <f>I905*J905*(1-K905/100)</f>
        <v>10200</v>
      </c>
      <c r="N905" t="str">
        <f>TEXT(B905,"yyyy-mm")</f>
        <v>2025-06</v>
      </c>
    </row>
    <row r="906" spans="1:14" x14ac:dyDescent="0.3">
      <c r="A906">
        <v>5866</v>
      </c>
      <c r="B906" s="1">
        <v>45976</v>
      </c>
      <c r="C906">
        <v>1056</v>
      </c>
      <c r="D906" t="s">
        <v>84</v>
      </c>
      <c r="E906" t="s">
        <v>33</v>
      </c>
      <c r="F906" t="s">
        <v>14</v>
      </c>
      <c r="G906" t="s">
        <v>30</v>
      </c>
      <c r="H906" t="s">
        <v>31</v>
      </c>
      <c r="I906">
        <v>1</v>
      </c>
      <c r="J906">
        <v>350</v>
      </c>
      <c r="K906">
        <v>10</v>
      </c>
      <c r="L906" t="s">
        <v>17</v>
      </c>
      <c r="M906">
        <f>I906*J906*(1-K906/100)</f>
        <v>315</v>
      </c>
      <c r="N906" t="str">
        <f>TEXT(B906,"yyyy-mm")</f>
        <v>2025-11</v>
      </c>
    </row>
    <row r="907" spans="1:14" x14ac:dyDescent="0.3">
      <c r="A907">
        <v>5754</v>
      </c>
      <c r="B907" s="1">
        <v>45939</v>
      </c>
      <c r="C907">
        <v>1057</v>
      </c>
      <c r="D907" t="s">
        <v>82</v>
      </c>
      <c r="E907" t="s">
        <v>22</v>
      </c>
      <c r="F907" t="s">
        <v>14</v>
      </c>
      <c r="G907" t="s">
        <v>15</v>
      </c>
      <c r="H907" t="s">
        <v>16</v>
      </c>
      <c r="I907">
        <v>5</v>
      </c>
      <c r="J907">
        <v>18000</v>
      </c>
      <c r="K907">
        <v>15</v>
      </c>
      <c r="L907" t="s">
        <v>17</v>
      </c>
      <c r="M907">
        <f>I907*J907*(1-K907/100)</f>
        <v>76500</v>
      </c>
      <c r="N907" t="str">
        <f>TEXT(B907,"yyyy-mm")</f>
        <v>2025-10</v>
      </c>
    </row>
    <row r="908" spans="1:14" x14ac:dyDescent="0.3">
      <c r="A908">
        <v>5848</v>
      </c>
      <c r="B908" s="1">
        <v>45968</v>
      </c>
      <c r="C908">
        <v>1057</v>
      </c>
      <c r="D908" t="s">
        <v>82</v>
      </c>
      <c r="E908" t="s">
        <v>22</v>
      </c>
      <c r="F908" t="s">
        <v>14</v>
      </c>
      <c r="G908" t="s">
        <v>52</v>
      </c>
      <c r="H908" t="s">
        <v>16</v>
      </c>
      <c r="I908">
        <v>5</v>
      </c>
      <c r="J908">
        <v>6000</v>
      </c>
      <c r="K908">
        <v>10</v>
      </c>
      <c r="L908" t="s">
        <v>43</v>
      </c>
      <c r="M908">
        <f>I908*J908*(1-K908/100)</f>
        <v>27000</v>
      </c>
      <c r="N908" t="str">
        <f>TEXT(B908,"yyyy-mm")</f>
        <v>2025-11</v>
      </c>
    </row>
    <row r="909" spans="1:14" x14ac:dyDescent="0.3">
      <c r="A909">
        <v>5121</v>
      </c>
      <c r="B909" s="1">
        <v>45701</v>
      </c>
      <c r="C909">
        <v>1057</v>
      </c>
      <c r="D909" t="s">
        <v>82</v>
      </c>
      <c r="E909" t="s">
        <v>22</v>
      </c>
      <c r="F909" t="s">
        <v>14</v>
      </c>
      <c r="G909" t="s">
        <v>65</v>
      </c>
      <c r="H909" t="s">
        <v>16</v>
      </c>
      <c r="I909">
        <v>4</v>
      </c>
      <c r="J909">
        <v>12000</v>
      </c>
      <c r="K909">
        <v>0</v>
      </c>
      <c r="L909" t="s">
        <v>17</v>
      </c>
      <c r="M909">
        <f>I909*J909*(1-K909/100)</f>
        <v>48000</v>
      </c>
      <c r="N909" t="str">
        <f>TEXT(B909,"yyyy-mm")</f>
        <v>2025-02</v>
      </c>
    </row>
    <row r="910" spans="1:14" x14ac:dyDescent="0.3">
      <c r="A910">
        <v>5610</v>
      </c>
      <c r="B910" s="1">
        <v>45887</v>
      </c>
      <c r="C910">
        <v>1057</v>
      </c>
      <c r="D910" t="s">
        <v>82</v>
      </c>
      <c r="E910" t="s">
        <v>22</v>
      </c>
      <c r="F910" t="s">
        <v>14</v>
      </c>
      <c r="G910" t="s">
        <v>65</v>
      </c>
      <c r="H910" t="s">
        <v>16</v>
      </c>
      <c r="I910">
        <v>4</v>
      </c>
      <c r="J910">
        <v>12000</v>
      </c>
      <c r="K910">
        <v>0</v>
      </c>
      <c r="L910" t="s">
        <v>43</v>
      </c>
      <c r="M910">
        <f>I910*J910*(1-K910/100)</f>
        <v>48000</v>
      </c>
      <c r="N910" t="str">
        <f>TEXT(B910,"yyyy-mm")</f>
        <v>2025-08</v>
      </c>
    </row>
    <row r="911" spans="1:14" x14ac:dyDescent="0.3">
      <c r="A911">
        <v>5797</v>
      </c>
      <c r="B911" s="1">
        <v>45953</v>
      </c>
      <c r="C911">
        <v>1057</v>
      </c>
      <c r="D911" t="s">
        <v>82</v>
      </c>
      <c r="E911" t="s">
        <v>22</v>
      </c>
      <c r="F911" t="s">
        <v>14</v>
      </c>
      <c r="G911" t="s">
        <v>55</v>
      </c>
      <c r="H911" t="s">
        <v>16</v>
      </c>
      <c r="I911">
        <v>4</v>
      </c>
      <c r="J911">
        <v>2500</v>
      </c>
      <c r="K911">
        <v>5</v>
      </c>
      <c r="L911" t="s">
        <v>20</v>
      </c>
      <c r="M911">
        <f>I911*J911*(1-K911/100)</f>
        <v>9500</v>
      </c>
      <c r="N911" t="str">
        <f>TEXT(B911,"yyyy-mm")</f>
        <v>2025-10</v>
      </c>
    </row>
    <row r="912" spans="1:14" x14ac:dyDescent="0.3">
      <c r="A912">
        <v>5574</v>
      </c>
      <c r="B912" s="1">
        <v>45874</v>
      </c>
      <c r="C912">
        <v>1057</v>
      </c>
      <c r="D912" t="s">
        <v>82</v>
      </c>
      <c r="E912" t="s">
        <v>22</v>
      </c>
      <c r="F912" t="s">
        <v>14</v>
      </c>
      <c r="G912" t="s">
        <v>30</v>
      </c>
      <c r="H912" t="s">
        <v>31</v>
      </c>
      <c r="I912">
        <v>3</v>
      </c>
      <c r="J912">
        <v>350</v>
      </c>
      <c r="K912">
        <v>5</v>
      </c>
      <c r="L912" t="s">
        <v>20</v>
      </c>
      <c r="M912">
        <f>I912*J912*(1-K912/100)</f>
        <v>997.5</v>
      </c>
      <c r="N912" t="str">
        <f>TEXT(B912,"yyyy-mm")</f>
        <v>2025-08</v>
      </c>
    </row>
    <row r="913" spans="1:14" x14ac:dyDescent="0.3">
      <c r="A913">
        <v>5147</v>
      </c>
      <c r="B913" s="1">
        <v>45708</v>
      </c>
      <c r="C913">
        <v>1057</v>
      </c>
      <c r="D913" t="s">
        <v>82</v>
      </c>
      <c r="E913" t="s">
        <v>22</v>
      </c>
      <c r="F913" t="s">
        <v>14</v>
      </c>
      <c r="G913" t="s">
        <v>24</v>
      </c>
      <c r="H913" t="s">
        <v>16</v>
      </c>
      <c r="I913">
        <v>2</v>
      </c>
      <c r="J913">
        <v>22000</v>
      </c>
      <c r="K913">
        <v>5</v>
      </c>
      <c r="L913" t="s">
        <v>43</v>
      </c>
      <c r="M913">
        <f>I913*J913*(1-K913/100)</f>
        <v>41800</v>
      </c>
      <c r="N913" t="str">
        <f>TEXT(B913,"yyyy-mm")</f>
        <v>2025-02</v>
      </c>
    </row>
    <row r="914" spans="1:14" x14ac:dyDescent="0.3">
      <c r="A914">
        <v>5381</v>
      </c>
      <c r="B914" s="1">
        <v>45805</v>
      </c>
      <c r="C914">
        <v>1057</v>
      </c>
      <c r="D914" t="s">
        <v>82</v>
      </c>
      <c r="E914" t="s">
        <v>22</v>
      </c>
      <c r="F914" t="s">
        <v>14</v>
      </c>
      <c r="G914" t="s">
        <v>55</v>
      </c>
      <c r="H914" t="s">
        <v>16</v>
      </c>
      <c r="I914">
        <v>2</v>
      </c>
      <c r="J914">
        <v>2500</v>
      </c>
      <c r="K914">
        <v>10</v>
      </c>
      <c r="L914" t="s">
        <v>20</v>
      </c>
      <c r="M914">
        <f>I914*J914*(1-K914/100)</f>
        <v>4500</v>
      </c>
      <c r="N914" t="str">
        <f>TEXT(B914,"yyyy-mm")</f>
        <v>2025-05</v>
      </c>
    </row>
    <row r="915" spans="1:14" x14ac:dyDescent="0.3">
      <c r="A915">
        <v>5869</v>
      </c>
      <c r="B915" s="1">
        <v>45977</v>
      </c>
      <c r="C915">
        <v>1057</v>
      </c>
      <c r="D915" t="s">
        <v>82</v>
      </c>
      <c r="E915" t="s">
        <v>22</v>
      </c>
      <c r="F915" t="s">
        <v>14</v>
      </c>
      <c r="G915" t="s">
        <v>30</v>
      </c>
      <c r="H915" t="s">
        <v>31</v>
      </c>
      <c r="I915">
        <v>2</v>
      </c>
      <c r="J915">
        <v>350</v>
      </c>
      <c r="K915">
        <v>0</v>
      </c>
      <c r="L915" t="s">
        <v>34</v>
      </c>
      <c r="M915">
        <f>I915*J915*(1-K915/100)</f>
        <v>700</v>
      </c>
      <c r="N915" t="str">
        <f>TEXT(B915,"yyyy-mm")</f>
        <v>2025-11</v>
      </c>
    </row>
    <row r="916" spans="1:14" x14ac:dyDescent="0.3">
      <c r="A916">
        <v>5921</v>
      </c>
      <c r="B916" s="1">
        <v>45997</v>
      </c>
      <c r="C916">
        <v>1057</v>
      </c>
      <c r="D916" t="s">
        <v>82</v>
      </c>
      <c r="E916" t="s">
        <v>22</v>
      </c>
      <c r="F916" t="s">
        <v>14</v>
      </c>
      <c r="G916" t="s">
        <v>19</v>
      </c>
      <c r="H916" t="s">
        <v>16</v>
      </c>
      <c r="I916">
        <v>2</v>
      </c>
      <c r="J916">
        <v>9500</v>
      </c>
      <c r="K916">
        <v>10</v>
      </c>
      <c r="L916" t="s">
        <v>20</v>
      </c>
      <c r="M916">
        <f>I916*J916*(1-K916/100)</f>
        <v>17100</v>
      </c>
      <c r="N916" t="str">
        <f>TEXT(B916,"yyyy-mm")</f>
        <v>2025-12</v>
      </c>
    </row>
    <row r="917" spans="1:14" x14ac:dyDescent="0.3">
      <c r="A917">
        <v>5933</v>
      </c>
      <c r="B917" s="1">
        <v>46000</v>
      </c>
      <c r="C917">
        <v>1057</v>
      </c>
      <c r="D917" t="s">
        <v>82</v>
      </c>
      <c r="E917" t="s">
        <v>22</v>
      </c>
      <c r="F917" t="s">
        <v>14</v>
      </c>
      <c r="G917" t="s">
        <v>42</v>
      </c>
      <c r="H917" t="s">
        <v>31</v>
      </c>
      <c r="I917">
        <v>2</v>
      </c>
      <c r="J917">
        <v>200</v>
      </c>
      <c r="K917">
        <v>0</v>
      </c>
      <c r="L917" t="s">
        <v>25</v>
      </c>
      <c r="M917">
        <f>I917*J917*(1-K917/100)</f>
        <v>400</v>
      </c>
      <c r="N917" t="str">
        <f>TEXT(B917,"yyyy-mm")</f>
        <v>2025-12</v>
      </c>
    </row>
    <row r="918" spans="1:14" x14ac:dyDescent="0.3">
      <c r="A918">
        <v>5389</v>
      </c>
      <c r="B918" s="1">
        <v>45808</v>
      </c>
      <c r="C918">
        <v>1057</v>
      </c>
      <c r="D918" t="s">
        <v>82</v>
      </c>
      <c r="E918" t="s">
        <v>22</v>
      </c>
      <c r="F918" t="s">
        <v>14</v>
      </c>
      <c r="G918" t="s">
        <v>40</v>
      </c>
      <c r="H918" t="s">
        <v>38</v>
      </c>
      <c r="I918">
        <v>1</v>
      </c>
      <c r="J918">
        <v>900</v>
      </c>
      <c r="K918">
        <v>0</v>
      </c>
      <c r="L918" t="s">
        <v>43</v>
      </c>
      <c r="M918">
        <f>I918*J918*(1-K918/100)</f>
        <v>900</v>
      </c>
      <c r="N918" t="str">
        <f>TEXT(B918,"yyyy-mm")</f>
        <v>2025-05</v>
      </c>
    </row>
    <row r="919" spans="1:14" x14ac:dyDescent="0.3">
      <c r="A919">
        <v>5427</v>
      </c>
      <c r="B919" s="1">
        <v>45821</v>
      </c>
      <c r="C919">
        <v>1057</v>
      </c>
      <c r="D919" t="s">
        <v>82</v>
      </c>
      <c r="E919" t="s">
        <v>22</v>
      </c>
      <c r="F919" t="s">
        <v>14</v>
      </c>
      <c r="G919" t="s">
        <v>40</v>
      </c>
      <c r="H919" t="s">
        <v>38</v>
      </c>
      <c r="I919">
        <v>1</v>
      </c>
      <c r="J919">
        <v>900</v>
      </c>
      <c r="K919">
        <v>0</v>
      </c>
      <c r="L919" t="s">
        <v>43</v>
      </c>
      <c r="M919">
        <f>I919*J919*(1-K919/100)</f>
        <v>900</v>
      </c>
      <c r="N919" t="str">
        <f>TEXT(B919,"yyyy-mm")</f>
        <v>2025-06</v>
      </c>
    </row>
    <row r="920" spans="1:14" x14ac:dyDescent="0.3">
      <c r="A920">
        <v>5466</v>
      </c>
      <c r="B920" s="1">
        <v>45836</v>
      </c>
      <c r="C920">
        <v>1057</v>
      </c>
      <c r="D920" t="s">
        <v>82</v>
      </c>
      <c r="E920" t="s">
        <v>22</v>
      </c>
      <c r="F920" t="s">
        <v>14</v>
      </c>
      <c r="G920" t="s">
        <v>55</v>
      </c>
      <c r="H920" t="s">
        <v>16</v>
      </c>
      <c r="I920">
        <v>1</v>
      </c>
      <c r="J920">
        <v>2500</v>
      </c>
      <c r="K920">
        <v>5</v>
      </c>
      <c r="L920" t="s">
        <v>17</v>
      </c>
      <c r="M920">
        <f>I920*J920*(1-K920/100)</f>
        <v>2375</v>
      </c>
      <c r="N920" t="str">
        <f>TEXT(B920,"yyyy-mm")</f>
        <v>2025-06</v>
      </c>
    </row>
    <row r="921" spans="1:14" x14ac:dyDescent="0.3">
      <c r="A921">
        <v>5537</v>
      </c>
      <c r="B921" s="1">
        <v>45858</v>
      </c>
      <c r="C921">
        <v>1057</v>
      </c>
      <c r="D921" t="s">
        <v>82</v>
      </c>
      <c r="E921" t="s">
        <v>22</v>
      </c>
      <c r="F921" t="s">
        <v>14</v>
      </c>
      <c r="G921" t="s">
        <v>30</v>
      </c>
      <c r="H921" t="s">
        <v>31</v>
      </c>
      <c r="I921">
        <v>1</v>
      </c>
      <c r="J921">
        <v>350</v>
      </c>
      <c r="K921">
        <v>5</v>
      </c>
      <c r="L921" t="s">
        <v>20</v>
      </c>
      <c r="M921">
        <f>I921*J921*(1-K921/100)</f>
        <v>332.5</v>
      </c>
      <c r="N921" t="str">
        <f>TEXT(B921,"yyyy-mm")</f>
        <v>2025-07</v>
      </c>
    </row>
    <row r="922" spans="1:14" x14ac:dyDescent="0.3">
      <c r="A922">
        <v>5069</v>
      </c>
      <c r="B922" s="1">
        <v>45682</v>
      </c>
      <c r="C922">
        <v>1058</v>
      </c>
      <c r="D922" t="s">
        <v>74</v>
      </c>
      <c r="E922" t="s">
        <v>29</v>
      </c>
      <c r="F922" t="s">
        <v>27</v>
      </c>
      <c r="G922" t="s">
        <v>42</v>
      </c>
      <c r="H922" t="s">
        <v>31</v>
      </c>
      <c r="I922">
        <v>5</v>
      </c>
      <c r="J922">
        <v>200</v>
      </c>
      <c r="K922">
        <v>0</v>
      </c>
      <c r="L922" t="s">
        <v>43</v>
      </c>
      <c r="M922">
        <f>I922*J922*(1-K922/100)</f>
        <v>1000</v>
      </c>
      <c r="N922" t="str">
        <f>TEXT(B922,"yyyy-mm")</f>
        <v>2025-01</v>
      </c>
    </row>
    <row r="923" spans="1:14" x14ac:dyDescent="0.3">
      <c r="A923">
        <v>5510</v>
      </c>
      <c r="B923" s="1">
        <v>45849</v>
      </c>
      <c r="C923">
        <v>1058</v>
      </c>
      <c r="D923" t="s">
        <v>74</v>
      </c>
      <c r="E923" t="s">
        <v>29</v>
      </c>
      <c r="F923" t="s">
        <v>27</v>
      </c>
      <c r="G923" t="s">
        <v>36</v>
      </c>
      <c r="H923" t="s">
        <v>16</v>
      </c>
      <c r="I923">
        <v>5</v>
      </c>
      <c r="J923">
        <v>55000</v>
      </c>
      <c r="K923">
        <v>0</v>
      </c>
      <c r="L923" t="s">
        <v>20</v>
      </c>
      <c r="M923">
        <f>I923*J923*(1-K923/100)</f>
        <v>275000</v>
      </c>
      <c r="N923" t="str">
        <f>TEXT(B923,"yyyy-mm")</f>
        <v>2025-07</v>
      </c>
    </row>
    <row r="924" spans="1:14" x14ac:dyDescent="0.3">
      <c r="A924">
        <v>5634</v>
      </c>
      <c r="B924" s="1">
        <v>45895</v>
      </c>
      <c r="C924">
        <v>1058</v>
      </c>
      <c r="D924" t="s">
        <v>74</v>
      </c>
      <c r="E924" t="s">
        <v>29</v>
      </c>
      <c r="F924" t="s">
        <v>27</v>
      </c>
      <c r="G924" t="s">
        <v>15</v>
      </c>
      <c r="H924" t="s">
        <v>16</v>
      </c>
      <c r="I924">
        <v>5</v>
      </c>
      <c r="J924">
        <v>18000</v>
      </c>
      <c r="K924">
        <v>0</v>
      </c>
      <c r="L924" t="s">
        <v>34</v>
      </c>
      <c r="M924">
        <f>I924*J924*(1-K924/100)</f>
        <v>90000</v>
      </c>
      <c r="N924" t="str">
        <f>TEXT(B924,"yyyy-mm")</f>
        <v>2025-08</v>
      </c>
    </row>
    <row r="925" spans="1:14" x14ac:dyDescent="0.3">
      <c r="A925">
        <v>5484</v>
      </c>
      <c r="B925" s="1">
        <v>45842</v>
      </c>
      <c r="C925">
        <v>1058</v>
      </c>
      <c r="D925" t="s">
        <v>74</v>
      </c>
      <c r="E925" t="s">
        <v>29</v>
      </c>
      <c r="F925" t="s">
        <v>27</v>
      </c>
      <c r="G925" t="s">
        <v>42</v>
      </c>
      <c r="H925" t="s">
        <v>31</v>
      </c>
      <c r="I925">
        <v>4</v>
      </c>
      <c r="J925">
        <v>200</v>
      </c>
      <c r="K925">
        <v>0</v>
      </c>
      <c r="L925" t="s">
        <v>17</v>
      </c>
      <c r="M925">
        <f>I925*J925*(1-K925/100)</f>
        <v>800</v>
      </c>
      <c r="N925" t="str">
        <f>TEXT(B925,"yyyy-mm")</f>
        <v>2025-07</v>
      </c>
    </row>
    <row r="926" spans="1:14" x14ac:dyDescent="0.3">
      <c r="A926">
        <v>5822</v>
      </c>
      <c r="B926" s="1">
        <v>45963</v>
      </c>
      <c r="C926">
        <v>1058</v>
      </c>
      <c r="D926" t="s">
        <v>74</v>
      </c>
      <c r="E926" t="s">
        <v>29</v>
      </c>
      <c r="F926" t="s">
        <v>27</v>
      </c>
      <c r="G926" t="s">
        <v>65</v>
      </c>
      <c r="H926" t="s">
        <v>16</v>
      </c>
      <c r="I926">
        <v>4</v>
      </c>
      <c r="J926">
        <v>12000</v>
      </c>
      <c r="K926">
        <v>0</v>
      </c>
      <c r="L926" t="s">
        <v>25</v>
      </c>
      <c r="M926">
        <f>I926*J926*(1-K926/100)</f>
        <v>48000</v>
      </c>
      <c r="N926" t="str">
        <f>TEXT(B926,"yyyy-mm")</f>
        <v>2025-11</v>
      </c>
    </row>
    <row r="927" spans="1:14" x14ac:dyDescent="0.3">
      <c r="A927">
        <v>5843</v>
      </c>
      <c r="B927" s="1">
        <v>45967</v>
      </c>
      <c r="C927">
        <v>1058</v>
      </c>
      <c r="D927" t="s">
        <v>74</v>
      </c>
      <c r="E927" t="s">
        <v>29</v>
      </c>
      <c r="F927" t="s">
        <v>27</v>
      </c>
      <c r="G927" t="s">
        <v>52</v>
      </c>
      <c r="H927" t="s">
        <v>16</v>
      </c>
      <c r="I927">
        <v>4</v>
      </c>
      <c r="J927">
        <v>6000</v>
      </c>
      <c r="K927">
        <v>10</v>
      </c>
      <c r="L927" t="s">
        <v>34</v>
      </c>
      <c r="M927">
        <f>I927*J927*(1-K927/100)</f>
        <v>21600</v>
      </c>
      <c r="N927" t="str">
        <f>TEXT(B927,"yyyy-mm")</f>
        <v>2025-11</v>
      </c>
    </row>
    <row r="928" spans="1:14" x14ac:dyDescent="0.3">
      <c r="A928">
        <v>5076</v>
      </c>
      <c r="B928" s="1">
        <v>45685</v>
      </c>
      <c r="C928">
        <v>1058</v>
      </c>
      <c r="D928" t="s">
        <v>74</v>
      </c>
      <c r="E928" t="s">
        <v>29</v>
      </c>
      <c r="F928" t="s">
        <v>27</v>
      </c>
      <c r="G928" t="s">
        <v>65</v>
      </c>
      <c r="H928" t="s">
        <v>16</v>
      </c>
      <c r="I928">
        <v>3</v>
      </c>
      <c r="J928">
        <v>12000</v>
      </c>
      <c r="K928">
        <v>5</v>
      </c>
      <c r="L928" t="s">
        <v>25</v>
      </c>
      <c r="M928">
        <f>I928*J928*(1-K928/100)</f>
        <v>34200</v>
      </c>
      <c r="N928" t="str">
        <f>TEXT(B928,"yyyy-mm")</f>
        <v>2025-01</v>
      </c>
    </row>
    <row r="929" spans="1:14" x14ac:dyDescent="0.3">
      <c r="A929">
        <v>5077</v>
      </c>
      <c r="B929" s="1">
        <v>45686</v>
      </c>
      <c r="C929">
        <v>1058</v>
      </c>
      <c r="D929" t="s">
        <v>74</v>
      </c>
      <c r="E929" t="s">
        <v>29</v>
      </c>
      <c r="F929" t="s">
        <v>27</v>
      </c>
      <c r="G929" t="s">
        <v>57</v>
      </c>
      <c r="H929" t="s">
        <v>38</v>
      </c>
      <c r="I929">
        <v>2</v>
      </c>
      <c r="J929">
        <v>16000</v>
      </c>
      <c r="K929">
        <v>10</v>
      </c>
      <c r="L929" t="s">
        <v>17</v>
      </c>
      <c r="M929">
        <f>I929*J929*(1-K929/100)</f>
        <v>28800</v>
      </c>
      <c r="N929" t="str">
        <f>TEXT(B929,"yyyy-mm")</f>
        <v>2025-01</v>
      </c>
    </row>
    <row r="930" spans="1:14" x14ac:dyDescent="0.3">
      <c r="A930">
        <v>5140</v>
      </c>
      <c r="B930" s="1">
        <v>45706</v>
      </c>
      <c r="C930">
        <v>1058</v>
      </c>
      <c r="D930" t="s">
        <v>74</v>
      </c>
      <c r="E930" t="s">
        <v>29</v>
      </c>
      <c r="F930" t="s">
        <v>27</v>
      </c>
      <c r="G930" t="s">
        <v>30</v>
      </c>
      <c r="H930" t="s">
        <v>31</v>
      </c>
      <c r="I930">
        <v>2</v>
      </c>
      <c r="J930">
        <v>350</v>
      </c>
      <c r="K930">
        <v>0</v>
      </c>
      <c r="L930" t="s">
        <v>34</v>
      </c>
      <c r="M930">
        <f>I930*J930*(1-K930/100)</f>
        <v>700</v>
      </c>
      <c r="N930" t="str">
        <f>TEXT(B930,"yyyy-mm")</f>
        <v>2025-02</v>
      </c>
    </row>
    <row r="931" spans="1:14" x14ac:dyDescent="0.3">
      <c r="A931">
        <v>5630</v>
      </c>
      <c r="B931" s="1">
        <v>45894</v>
      </c>
      <c r="C931">
        <v>1058</v>
      </c>
      <c r="D931" t="s">
        <v>74</v>
      </c>
      <c r="E931" t="s">
        <v>29</v>
      </c>
      <c r="F931" t="s">
        <v>27</v>
      </c>
      <c r="G931" t="s">
        <v>57</v>
      </c>
      <c r="H931" t="s">
        <v>38</v>
      </c>
      <c r="I931">
        <v>2</v>
      </c>
      <c r="J931">
        <v>16000</v>
      </c>
      <c r="K931">
        <v>0</v>
      </c>
      <c r="L931" t="s">
        <v>20</v>
      </c>
      <c r="M931">
        <f>I931*J931*(1-K931/100)</f>
        <v>32000</v>
      </c>
      <c r="N931" t="str">
        <f>TEXT(B931,"yyyy-mm")</f>
        <v>2025-08</v>
      </c>
    </row>
    <row r="932" spans="1:14" x14ac:dyDescent="0.3">
      <c r="A932">
        <v>5639</v>
      </c>
      <c r="B932" s="1">
        <v>45896</v>
      </c>
      <c r="C932">
        <v>1058</v>
      </c>
      <c r="D932" t="s">
        <v>74</v>
      </c>
      <c r="E932" t="s">
        <v>29</v>
      </c>
      <c r="F932" t="s">
        <v>27</v>
      </c>
      <c r="G932" t="s">
        <v>19</v>
      </c>
      <c r="H932" t="s">
        <v>16</v>
      </c>
      <c r="I932">
        <v>2</v>
      </c>
      <c r="J932">
        <v>9500</v>
      </c>
      <c r="K932">
        <v>0</v>
      </c>
      <c r="L932" t="s">
        <v>43</v>
      </c>
      <c r="M932">
        <f>I932*J932*(1-K932/100)</f>
        <v>19000</v>
      </c>
      <c r="N932" t="str">
        <f>TEXT(B932,"yyyy-mm")</f>
        <v>2025-08</v>
      </c>
    </row>
    <row r="933" spans="1:14" x14ac:dyDescent="0.3">
      <c r="A933">
        <v>5817</v>
      </c>
      <c r="B933" s="1">
        <v>45961</v>
      </c>
      <c r="C933">
        <v>1058</v>
      </c>
      <c r="D933" t="s">
        <v>74</v>
      </c>
      <c r="E933" t="s">
        <v>29</v>
      </c>
      <c r="F933" t="s">
        <v>27</v>
      </c>
      <c r="G933" t="s">
        <v>42</v>
      </c>
      <c r="H933" t="s">
        <v>31</v>
      </c>
      <c r="I933">
        <v>2</v>
      </c>
      <c r="J933">
        <v>200</v>
      </c>
      <c r="K933">
        <v>5</v>
      </c>
      <c r="L933" t="s">
        <v>43</v>
      </c>
      <c r="M933">
        <f>I933*J933*(1-K933/100)</f>
        <v>380</v>
      </c>
      <c r="N933" t="str">
        <f>TEXT(B933,"yyyy-mm")</f>
        <v>2025-10</v>
      </c>
    </row>
    <row r="934" spans="1:14" x14ac:dyDescent="0.3">
      <c r="A934">
        <v>5865</v>
      </c>
      <c r="B934" s="1">
        <v>45975</v>
      </c>
      <c r="C934">
        <v>1058</v>
      </c>
      <c r="D934" t="s">
        <v>74</v>
      </c>
      <c r="E934" t="s">
        <v>29</v>
      </c>
      <c r="F934" t="s">
        <v>27</v>
      </c>
      <c r="G934" t="s">
        <v>37</v>
      </c>
      <c r="H934" t="s">
        <v>38</v>
      </c>
      <c r="I934">
        <v>2</v>
      </c>
      <c r="J934">
        <v>7500</v>
      </c>
      <c r="K934">
        <v>15</v>
      </c>
      <c r="L934" t="s">
        <v>20</v>
      </c>
      <c r="M934">
        <f>I934*J934*(1-K934/100)</f>
        <v>12750</v>
      </c>
      <c r="N934" t="str">
        <f>TEXT(B934,"yyyy-mm")</f>
        <v>2025-11</v>
      </c>
    </row>
    <row r="935" spans="1:14" x14ac:dyDescent="0.3">
      <c r="A935">
        <v>5148</v>
      </c>
      <c r="B935" s="1">
        <v>45709</v>
      </c>
      <c r="C935">
        <v>1058</v>
      </c>
      <c r="D935" t="s">
        <v>74</v>
      </c>
      <c r="E935" t="s">
        <v>29</v>
      </c>
      <c r="F935" t="s">
        <v>27</v>
      </c>
      <c r="G935" t="s">
        <v>15</v>
      </c>
      <c r="H935" t="s">
        <v>16</v>
      </c>
      <c r="I935">
        <v>1</v>
      </c>
      <c r="J935">
        <v>18000</v>
      </c>
      <c r="K935">
        <v>0</v>
      </c>
      <c r="L935" t="s">
        <v>34</v>
      </c>
      <c r="M935">
        <f>I935*J935*(1-K935/100)</f>
        <v>18000</v>
      </c>
      <c r="N935" t="str">
        <f>TEXT(B935,"yyyy-mm")</f>
        <v>2025-02</v>
      </c>
    </row>
    <row r="936" spans="1:14" x14ac:dyDescent="0.3">
      <c r="A936">
        <v>5400</v>
      </c>
      <c r="B936" s="1">
        <v>45810</v>
      </c>
      <c r="C936">
        <v>1058</v>
      </c>
      <c r="D936" t="s">
        <v>74</v>
      </c>
      <c r="E936" t="s">
        <v>29</v>
      </c>
      <c r="F936" t="s">
        <v>27</v>
      </c>
      <c r="G936" t="s">
        <v>55</v>
      </c>
      <c r="H936" t="s">
        <v>16</v>
      </c>
      <c r="I936">
        <v>1</v>
      </c>
      <c r="J936">
        <v>2500</v>
      </c>
      <c r="K936">
        <v>0</v>
      </c>
      <c r="L936" t="s">
        <v>20</v>
      </c>
      <c r="M936">
        <f>I936*J936*(1-K936/100)</f>
        <v>2500</v>
      </c>
      <c r="N936" t="str">
        <f>TEXT(B936,"yyyy-mm")</f>
        <v>2025-06</v>
      </c>
    </row>
    <row r="937" spans="1:14" x14ac:dyDescent="0.3">
      <c r="A937">
        <v>5532</v>
      </c>
      <c r="B937" s="1">
        <v>45856</v>
      </c>
      <c r="C937">
        <v>1058</v>
      </c>
      <c r="D937" t="s">
        <v>74</v>
      </c>
      <c r="E937" t="s">
        <v>29</v>
      </c>
      <c r="F937" t="s">
        <v>27</v>
      </c>
      <c r="G937" t="s">
        <v>40</v>
      </c>
      <c r="H937" t="s">
        <v>38</v>
      </c>
      <c r="I937">
        <v>1</v>
      </c>
      <c r="J937">
        <v>900</v>
      </c>
      <c r="K937">
        <v>0</v>
      </c>
      <c r="L937" t="s">
        <v>20</v>
      </c>
      <c r="M937">
        <f>I937*J937*(1-K937/100)</f>
        <v>900</v>
      </c>
      <c r="N937" t="str">
        <f>TEXT(B937,"yyyy-mm")</f>
        <v>2025-07</v>
      </c>
    </row>
    <row r="938" spans="1:14" x14ac:dyDescent="0.3">
      <c r="A938">
        <v>5728</v>
      </c>
      <c r="B938" s="1">
        <v>45929</v>
      </c>
      <c r="C938">
        <v>1058</v>
      </c>
      <c r="D938" t="s">
        <v>74</v>
      </c>
      <c r="E938" t="s">
        <v>29</v>
      </c>
      <c r="F938" t="s">
        <v>27</v>
      </c>
      <c r="G938" t="s">
        <v>55</v>
      </c>
      <c r="H938" t="s">
        <v>16</v>
      </c>
      <c r="I938">
        <v>1</v>
      </c>
      <c r="J938">
        <v>2500</v>
      </c>
      <c r="K938">
        <v>15</v>
      </c>
      <c r="L938" t="s">
        <v>43</v>
      </c>
      <c r="M938">
        <f>I938*J938*(1-K938/100)</f>
        <v>2125</v>
      </c>
      <c r="N938" t="str">
        <f>TEXT(B938,"yyyy-mm")</f>
        <v>2025-09</v>
      </c>
    </row>
    <row r="939" spans="1:14" x14ac:dyDescent="0.3">
      <c r="A939">
        <v>5081</v>
      </c>
      <c r="B939" s="1">
        <v>45688</v>
      </c>
      <c r="C939">
        <v>1059</v>
      </c>
      <c r="D939" t="s">
        <v>76</v>
      </c>
      <c r="E939" t="s">
        <v>13</v>
      </c>
      <c r="F939" t="s">
        <v>14</v>
      </c>
      <c r="G939" t="s">
        <v>55</v>
      </c>
      <c r="H939" t="s">
        <v>16</v>
      </c>
      <c r="I939">
        <v>5</v>
      </c>
      <c r="J939">
        <v>2500</v>
      </c>
      <c r="K939">
        <v>0</v>
      </c>
      <c r="L939" t="s">
        <v>17</v>
      </c>
      <c r="M939">
        <f>I939*J939*(1-K939/100)</f>
        <v>12500</v>
      </c>
      <c r="N939" t="str">
        <f>TEXT(B939,"yyyy-mm")</f>
        <v>2025-01</v>
      </c>
    </row>
    <row r="940" spans="1:14" x14ac:dyDescent="0.3">
      <c r="A940">
        <v>5175</v>
      </c>
      <c r="B940" s="1">
        <v>45715</v>
      </c>
      <c r="C940">
        <v>1059</v>
      </c>
      <c r="D940" t="s">
        <v>76</v>
      </c>
      <c r="E940" t="s">
        <v>13</v>
      </c>
      <c r="F940" t="s">
        <v>14</v>
      </c>
      <c r="G940" t="s">
        <v>52</v>
      </c>
      <c r="H940" t="s">
        <v>16</v>
      </c>
      <c r="I940">
        <v>5</v>
      </c>
      <c r="J940">
        <v>6000</v>
      </c>
      <c r="K940">
        <v>15</v>
      </c>
      <c r="L940" t="s">
        <v>34</v>
      </c>
      <c r="M940">
        <f>I940*J940*(1-K940/100)</f>
        <v>25500</v>
      </c>
      <c r="N940" t="str">
        <f>TEXT(B940,"yyyy-mm")</f>
        <v>2025-02</v>
      </c>
    </row>
    <row r="941" spans="1:14" x14ac:dyDescent="0.3">
      <c r="A941">
        <v>5267</v>
      </c>
      <c r="B941" s="1">
        <v>45756</v>
      </c>
      <c r="C941">
        <v>1059</v>
      </c>
      <c r="D941" t="s">
        <v>76</v>
      </c>
      <c r="E941" t="s">
        <v>13</v>
      </c>
      <c r="F941" t="s">
        <v>14</v>
      </c>
      <c r="G941" t="s">
        <v>30</v>
      </c>
      <c r="H941" t="s">
        <v>31</v>
      </c>
      <c r="I941">
        <v>4</v>
      </c>
      <c r="J941">
        <v>350</v>
      </c>
      <c r="K941">
        <v>0</v>
      </c>
      <c r="L941" t="s">
        <v>34</v>
      </c>
      <c r="M941">
        <f>I941*J941*(1-K941/100)</f>
        <v>1400</v>
      </c>
      <c r="N941" t="str">
        <f>TEXT(B941,"yyyy-mm")</f>
        <v>2025-04</v>
      </c>
    </row>
    <row r="942" spans="1:14" x14ac:dyDescent="0.3">
      <c r="A942">
        <v>5497</v>
      </c>
      <c r="B942" s="1">
        <v>45846</v>
      </c>
      <c r="C942">
        <v>1059</v>
      </c>
      <c r="D942" t="s">
        <v>76</v>
      </c>
      <c r="E942" t="s">
        <v>13</v>
      </c>
      <c r="F942" t="s">
        <v>14</v>
      </c>
      <c r="G942" t="s">
        <v>55</v>
      </c>
      <c r="H942" t="s">
        <v>16</v>
      </c>
      <c r="I942">
        <v>3</v>
      </c>
      <c r="J942">
        <v>2500</v>
      </c>
      <c r="K942">
        <v>5</v>
      </c>
      <c r="L942" t="s">
        <v>25</v>
      </c>
      <c r="M942">
        <f>I942*J942*(1-K942/100)</f>
        <v>7125</v>
      </c>
      <c r="N942" t="str">
        <f>TEXT(B942,"yyyy-mm")</f>
        <v>2025-07</v>
      </c>
    </row>
    <row r="943" spans="1:14" x14ac:dyDescent="0.3">
      <c r="A943">
        <v>5530</v>
      </c>
      <c r="B943" s="1">
        <v>45855</v>
      </c>
      <c r="C943">
        <v>1059</v>
      </c>
      <c r="D943" t="s">
        <v>76</v>
      </c>
      <c r="E943" t="s">
        <v>13</v>
      </c>
      <c r="F943" t="s">
        <v>14</v>
      </c>
      <c r="G943" t="s">
        <v>30</v>
      </c>
      <c r="H943" t="s">
        <v>31</v>
      </c>
      <c r="I943">
        <v>3</v>
      </c>
      <c r="J943">
        <v>350</v>
      </c>
      <c r="K943">
        <v>0</v>
      </c>
      <c r="L943" t="s">
        <v>20</v>
      </c>
      <c r="M943">
        <f>I943*J943*(1-K943/100)</f>
        <v>1050</v>
      </c>
      <c r="N943" t="str">
        <f>TEXT(B943,"yyyy-mm")</f>
        <v>2025-07</v>
      </c>
    </row>
    <row r="944" spans="1:14" x14ac:dyDescent="0.3">
      <c r="A944">
        <v>5970</v>
      </c>
      <c r="B944" s="1">
        <v>46011</v>
      </c>
      <c r="C944">
        <v>1059</v>
      </c>
      <c r="D944" t="s">
        <v>76</v>
      </c>
      <c r="E944" t="s">
        <v>13</v>
      </c>
      <c r="F944" t="s">
        <v>14</v>
      </c>
      <c r="G944" t="s">
        <v>55</v>
      </c>
      <c r="H944" t="s">
        <v>16</v>
      </c>
      <c r="I944">
        <v>3</v>
      </c>
      <c r="J944">
        <v>2500</v>
      </c>
      <c r="K944">
        <v>15</v>
      </c>
      <c r="L944" t="s">
        <v>34</v>
      </c>
      <c r="M944">
        <f>I944*J944*(1-K944/100)</f>
        <v>6375</v>
      </c>
      <c r="N944" t="str">
        <f>TEXT(B944,"yyyy-mm")</f>
        <v>2025-12</v>
      </c>
    </row>
    <row r="945" spans="1:14" x14ac:dyDescent="0.3">
      <c r="A945">
        <v>5349</v>
      </c>
      <c r="B945" s="1">
        <v>45791</v>
      </c>
      <c r="C945">
        <v>1059</v>
      </c>
      <c r="D945" t="s">
        <v>76</v>
      </c>
      <c r="E945" t="s">
        <v>13</v>
      </c>
      <c r="F945" t="s">
        <v>14</v>
      </c>
      <c r="G945" t="s">
        <v>52</v>
      </c>
      <c r="H945" t="s">
        <v>16</v>
      </c>
      <c r="I945">
        <v>2</v>
      </c>
      <c r="J945">
        <v>6000</v>
      </c>
      <c r="K945">
        <v>15</v>
      </c>
      <c r="L945" t="s">
        <v>34</v>
      </c>
      <c r="M945">
        <f>I945*J945*(1-K945/100)</f>
        <v>10200</v>
      </c>
      <c r="N945" t="str">
        <f>TEXT(B945,"yyyy-mm")</f>
        <v>2025-05</v>
      </c>
    </row>
    <row r="946" spans="1:14" x14ac:dyDescent="0.3">
      <c r="A946">
        <v>5446</v>
      </c>
      <c r="B946" s="1">
        <v>45828</v>
      </c>
      <c r="C946">
        <v>1059</v>
      </c>
      <c r="D946" t="s">
        <v>76</v>
      </c>
      <c r="E946" t="s">
        <v>13</v>
      </c>
      <c r="F946" t="s">
        <v>14</v>
      </c>
      <c r="G946" t="s">
        <v>42</v>
      </c>
      <c r="H946" t="s">
        <v>31</v>
      </c>
      <c r="I946">
        <v>2</v>
      </c>
      <c r="J946">
        <v>200</v>
      </c>
      <c r="K946">
        <v>0</v>
      </c>
      <c r="L946" t="s">
        <v>43</v>
      </c>
      <c r="M946">
        <f>I946*J946*(1-K946/100)</f>
        <v>400</v>
      </c>
      <c r="N946" t="str">
        <f>TEXT(B946,"yyyy-mm")</f>
        <v>2025-06</v>
      </c>
    </row>
    <row r="947" spans="1:14" x14ac:dyDescent="0.3">
      <c r="A947">
        <v>5655</v>
      </c>
      <c r="B947" s="1">
        <v>45902</v>
      </c>
      <c r="C947">
        <v>1059</v>
      </c>
      <c r="D947" t="s">
        <v>76</v>
      </c>
      <c r="E947" t="s">
        <v>13</v>
      </c>
      <c r="F947" t="s">
        <v>14</v>
      </c>
      <c r="G947" t="s">
        <v>42</v>
      </c>
      <c r="H947" t="s">
        <v>31</v>
      </c>
      <c r="I947">
        <v>2</v>
      </c>
      <c r="J947">
        <v>200</v>
      </c>
      <c r="K947">
        <v>5</v>
      </c>
      <c r="L947" t="s">
        <v>17</v>
      </c>
      <c r="M947">
        <f>I947*J947*(1-K947/100)</f>
        <v>380</v>
      </c>
      <c r="N947" t="str">
        <f>TEXT(B947,"yyyy-mm")</f>
        <v>2025-09</v>
      </c>
    </row>
    <row r="948" spans="1:14" x14ac:dyDescent="0.3">
      <c r="A948">
        <v>5832</v>
      </c>
      <c r="B948" s="1">
        <v>45965</v>
      </c>
      <c r="C948">
        <v>1059</v>
      </c>
      <c r="D948" t="s">
        <v>76</v>
      </c>
      <c r="E948" t="s">
        <v>13</v>
      </c>
      <c r="F948" t="s">
        <v>14</v>
      </c>
      <c r="G948" t="s">
        <v>52</v>
      </c>
      <c r="H948" t="s">
        <v>16</v>
      </c>
      <c r="I948">
        <v>2</v>
      </c>
      <c r="J948">
        <v>6000</v>
      </c>
      <c r="K948">
        <v>5</v>
      </c>
      <c r="L948" t="s">
        <v>17</v>
      </c>
      <c r="M948">
        <f>I948*J948*(1-K948/100)</f>
        <v>11400</v>
      </c>
      <c r="N948" t="str">
        <f>TEXT(B948,"yyyy-mm")</f>
        <v>2025-11</v>
      </c>
    </row>
    <row r="949" spans="1:14" x14ac:dyDescent="0.3">
      <c r="A949">
        <v>5930</v>
      </c>
      <c r="B949" s="1">
        <v>45999</v>
      </c>
      <c r="C949">
        <v>1059</v>
      </c>
      <c r="D949" t="s">
        <v>76</v>
      </c>
      <c r="E949" t="s">
        <v>13</v>
      </c>
      <c r="F949" t="s">
        <v>14</v>
      </c>
      <c r="G949" t="s">
        <v>36</v>
      </c>
      <c r="H949" t="s">
        <v>16</v>
      </c>
      <c r="I949">
        <v>2</v>
      </c>
      <c r="J949">
        <v>55000</v>
      </c>
      <c r="K949">
        <v>0</v>
      </c>
      <c r="L949" t="s">
        <v>17</v>
      </c>
      <c r="M949">
        <f>I949*J949*(1-K949/100)</f>
        <v>110000</v>
      </c>
      <c r="N949" t="str">
        <f>TEXT(B949,"yyyy-mm")</f>
        <v>2025-12</v>
      </c>
    </row>
    <row r="950" spans="1:14" x14ac:dyDescent="0.3">
      <c r="A950">
        <v>5870</v>
      </c>
      <c r="B950" s="1">
        <v>45978</v>
      </c>
      <c r="C950">
        <v>1059</v>
      </c>
      <c r="D950" t="s">
        <v>76</v>
      </c>
      <c r="E950" t="s">
        <v>13</v>
      </c>
      <c r="F950" t="s">
        <v>14</v>
      </c>
      <c r="G950" t="s">
        <v>52</v>
      </c>
      <c r="H950" t="s">
        <v>16</v>
      </c>
      <c r="I950">
        <v>1</v>
      </c>
      <c r="J950">
        <v>6000</v>
      </c>
      <c r="K950">
        <v>10</v>
      </c>
      <c r="L950" t="s">
        <v>34</v>
      </c>
      <c r="M950">
        <f>I950*J950*(1-K950/100)</f>
        <v>5400</v>
      </c>
      <c r="N950" t="str">
        <f>TEXT(B950,"yyyy-mm")</f>
        <v>2025-11</v>
      </c>
    </row>
    <row r="951" spans="1:14" x14ac:dyDescent="0.3">
      <c r="A951">
        <v>5122</v>
      </c>
      <c r="B951" s="1">
        <v>45701</v>
      </c>
      <c r="C951">
        <v>1060</v>
      </c>
      <c r="D951" t="s">
        <v>61</v>
      </c>
      <c r="E951" t="s">
        <v>22</v>
      </c>
      <c r="F951" t="s">
        <v>14</v>
      </c>
      <c r="G951" t="s">
        <v>52</v>
      </c>
      <c r="H951" t="s">
        <v>16</v>
      </c>
      <c r="I951">
        <v>5</v>
      </c>
      <c r="J951">
        <v>6000</v>
      </c>
      <c r="K951">
        <v>10</v>
      </c>
      <c r="L951" t="s">
        <v>25</v>
      </c>
      <c r="M951">
        <f>I951*J951*(1-K951/100)</f>
        <v>27000</v>
      </c>
      <c r="N951" t="str">
        <f>TEXT(B951,"yyyy-mm")</f>
        <v>2025-02</v>
      </c>
    </row>
    <row r="952" spans="1:14" x14ac:dyDescent="0.3">
      <c r="A952">
        <v>5320</v>
      </c>
      <c r="B952" s="1">
        <v>45774</v>
      </c>
      <c r="C952">
        <v>1060</v>
      </c>
      <c r="D952" t="s">
        <v>61</v>
      </c>
      <c r="E952" t="s">
        <v>22</v>
      </c>
      <c r="F952" t="s">
        <v>14</v>
      </c>
      <c r="G952" t="s">
        <v>15</v>
      </c>
      <c r="H952" t="s">
        <v>16</v>
      </c>
      <c r="I952">
        <v>5</v>
      </c>
      <c r="J952">
        <v>18000</v>
      </c>
      <c r="K952">
        <v>0</v>
      </c>
      <c r="L952" t="s">
        <v>17</v>
      </c>
      <c r="M952">
        <f>I952*J952*(1-K952/100)</f>
        <v>90000</v>
      </c>
      <c r="N952" t="str">
        <f>TEXT(B952,"yyyy-mm")</f>
        <v>2025-04</v>
      </c>
    </row>
    <row r="953" spans="1:14" x14ac:dyDescent="0.3">
      <c r="A953">
        <v>5698</v>
      </c>
      <c r="B953" s="1">
        <v>45922</v>
      </c>
      <c r="C953">
        <v>1060</v>
      </c>
      <c r="D953" t="s">
        <v>61</v>
      </c>
      <c r="E953" t="s">
        <v>22</v>
      </c>
      <c r="F953" t="s">
        <v>14</v>
      </c>
      <c r="G953" t="s">
        <v>42</v>
      </c>
      <c r="H953" t="s">
        <v>31</v>
      </c>
      <c r="I953">
        <v>5</v>
      </c>
      <c r="J953">
        <v>200</v>
      </c>
      <c r="K953">
        <v>5</v>
      </c>
      <c r="L953" t="s">
        <v>20</v>
      </c>
      <c r="M953">
        <f>I953*J953*(1-K953/100)</f>
        <v>950</v>
      </c>
      <c r="N953" t="str">
        <f>TEXT(B953,"yyyy-mm")</f>
        <v>2025-09</v>
      </c>
    </row>
    <row r="954" spans="1:14" x14ac:dyDescent="0.3">
      <c r="A954">
        <v>5739</v>
      </c>
      <c r="B954" s="1">
        <v>45934</v>
      </c>
      <c r="C954">
        <v>1060</v>
      </c>
      <c r="D954" t="s">
        <v>61</v>
      </c>
      <c r="E954" t="s">
        <v>22</v>
      </c>
      <c r="F954" t="s">
        <v>14</v>
      </c>
      <c r="G954" t="s">
        <v>19</v>
      </c>
      <c r="H954" t="s">
        <v>16</v>
      </c>
      <c r="I954">
        <v>5</v>
      </c>
      <c r="J954">
        <v>9500</v>
      </c>
      <c r="K954">
        <v>0</v>
      </c>
      <c r="L954" t="s">
        <v>20</v>
      </c>
      <c r="M954">
        <f>I954*J954*(1-K954/100)</f>
        <v>47500</v>
      </c>
      <c r="N954" t="str">
        <f>TEXT(B954,"yyyy-mm")</f>
        <v>2025-10</v>
      </c>
    </row>
    <row r="955" spans="1:14" x14ac:dyDescent="0.3">
      <c r="A955">
        <v>5873</v>
      </c>
      <c r="B955" s="1">
        <v>45979</v>
      </c>
      <c r="C955">
        <v>1060</v>
      </c>
      <c r="D955" t="s">
        <v>61</v>
      </c>
      <c r="E955" t="s">
        <v>22</v>
      </c>
      <c r="F955" t="s">
        <v>14</v>
      </c>
      <c r="G955" t="s">
        <v>36</v>
      </c>
      <c r="H955" t="s">
        <v>16</v>
      </c>
      <c r="I955">
        <v>5</v>
      </c>
      <c r="J955">
        <v>55000</v>
      </c>
      <c r="K955">
        <v>0</v>
      </c>
      <c r="L955" t="s">
        <v>20</v>
      </c>
      <c r="M955">
        <f>I955*J955*(1-K955/100)</f>
        <v>275000</v>
      </c>
      <c r="N955" t="str">
        <f>TEXT(B955,"yyyy-mm")</f>
        <v>2025-11</v>
      </c>
    </row>
    <row r="956" spans="1:14" x14ac:dyDescent="0.3">
      <c r="A956">
        <v>5259</v>
      </c>
      <c r="B956" s="1">
        <v>45752</v>
      </c>
      <c r="C956">
        <v>1060</v>
      </c>
      <c r="D956" t="s">
        <v>61</v>
      </c>
      <c r="E956" t="s">
        <v>22</v>
      </c>
      <c r="F956" t="s">
        <v>14</v>
      </c>
      <c r="G956" t="s">
        <v>19</v>
      </c>
      <c r="H956" t="s">
        <v>16</v>
      </c>
      <c r="I956">
        <v>4</v>
      </c>
      <c r="J956">
        <v>9500</v>
      </c>
      <c r="K956">
        <v>15</v>
      </c>
      <c r="L956" t="s">
        <v>43</v>
      </c>
      <c r="M956">
        <f>I956*J956*(1-K956/100)</f>
        <v>32300</v>
      </c>
      <c r="N956" t="str">
        <f>TEXT(B956,"yyyy-mm")</f>
        <v>2025-04</v>
      </c>
    </row>
    <row r="957" spans="1:14" x14ac:dyDescent="0.3">
      <c r="A957">
        <v>5447</v>
      </c>
      <c r="B957" s="1">
        <v>45828</v>
      </c>
      <c r="C957">
        <v>1060</v>
      </c>
      <c r="D957" t="s">
        <v>61</v>
      </c>
      <c r="E957" t="s">
        <v>22</v>
      </c>
      <c r="F957" t="s">
        <v>14</v>
      </c>
      <c r="G957" t="s">
        <v>55</v>
      </c>
      <c r="H957" t="s">
        <v>16</v>
      </c>
      <c r="I957">
        <v>4</v>
      </c>
      <c r="J957">
        <v>2500</v>
      </c>
      <c r="K957">
        <v>0</v>
      </c>
      <c r="L957" t="s">
        <v>25</v>
      </c>
      <c r="M957">
        <f>I957*J957*(1-K957/100)</f>
        <v>10000</v>
      </c>
      <c r="N957" t="str">
        <f>TEXT(B957,"yyyy-mm")</f>
        <v>2025-06</v>
      </c>
    </row>
    <row r="958" spans="1:14" x14ac:dyDescent="0.3">
      <c r="A958">
        <v>5918</v>
      </c>
      <c r="B958" s="1">
        <v>45996</v>
      </c>
      <c r="C958">
        <v>1060</v>
      </c>
      <c r="D958" t="s">
        <v>61</v>
      </c>
      <c r="E958" t="s">
        <v>22</v>
      </c>
      <c r="F958" t="s">
        <v>14</v>
      </c>
      <c r="G958" t="s">
        <v>65</v>
      </c>
      <c r="H958" t="s">
        <v>16</v>
      </c>
      <c r="I958">
        <v>4</v>
      </c>
      <c r="J958">
        <v>12000</v>
      </c>
      <c r="K958">
        <v>0</v>
      </c>
      <c r="L958" t="s">
        <v>25</v>
      </c>
      <c r="M958">
        <f>I958*J958*(1-K958/100)</f>
        <v>48000</v>
      </c>
      <c r="N958" t="str">
        <f>TEXT(B958,"yyyy-mm")</f>
        <v>2025-12</v>
      </c>
    </row>
    <row r="959" spans="1:14" x14ac:dyDescent="0.3">
      <c r="A959">
        <v>5036</v>
      </c>
      <c r="B959" s="1">
        <v>45670</v>
      </c>
      <c r="C959">
        <v>1060</v>
      </c>
      <c r="D959" t="s">
        <v>61</v>
      </c>
      <c r="E959" t="s">
        <v>22</v>
      </c>
      <c r="F959" t="s">
        <v>14</v>
      </c>
      <c r="G959" t="s">
        <v>40</v>
      </c>
      <c r="H959" t="s">
        <v>38</v>
      </c>
      <c r="I959">
        <v>3</v>
      </c>
      <c r="J959">
        <v>900</v>
      </c>
      <c r="K959">
        <v>5</v>
      </c>
      <c r="L959" t="s">
        <v>43</v>
      </c>
      <c r="M959">
        <f>I959*J959*(1-K959/100)</f>
        <v>2565</v>
      </c>
      <c r="N959" t="str">
        <f>TEXT(B959,"yyyy-mm")</f>
        <v>2025-01</v>
      </c>
    </row>
    <row r="960" spans="1:14" x14ac:dyDescent="0.3">
      <c r="A960">
        <v>5046</v>
      </c>
      <c r="B960" s="1">
        <v>45673</v>
      </c>
      <c r="C960">
        <v>1060</v>
      </c>
      <c r="D960" t="s">
        <v>61</v>
      </c>
      <c r="E960" t="s">
        <v>22</v>
      </c>
      <c r="F960" t="s">
        <v>14</v>
      </c>
      <c r="G960" t="s">
        <v>55</v>
      </c>
      <c r="H960" t="s">
        <v>16</v>
      </c>
      <c r="I960">
        <v>3</v>
      </c>
      <c r="J960">
        <v>2500</v>
      </c>
      <c r="K960">
        <v>0</v>
      </c>
      <c r="L960" t="s">
        <v>20</v>
      </c>
      <c r="M960">
        <f>I960*J960*(1-K960/100)</f>
        <v>7500</v>
      </c>
      <c r="N960" t="str">
        <f>TEXT(B960,"yyyy-mm")</f>
        <v>2025-01</v>
      </c>
    </row>
    <row r="961" spans="1:14" x14ac:dyDescent="0.3">
      <c r="A961">
        <v>5157</v>
      </c>
      <c r="B961" s="1">
        <v>45710</v>
      </c>
      <c r="C961">
        <v>1060</v>
      </c>
      <c r="D961" t="s">
        <v>61</v>
      </c>
      <c r="E961" t="s">
        <v>22</v>
      </c>
      <c r="F961" t="s">
        <v>14</v>
      </c>
      <c r="G961" t="s">
        <v>30</v>
      </c>
      <c r="H961" t="s">
        <v>31</v>
      </c>
      <c r="I961">
        <v>3</v>
      </c>
      <c r="J961">
        <v>350</v>
      </c>
      <c r="K961">
        <v>0</v>
      </c>
      <c r="L961" t="s">
        <v>34</v>
      </c>
      <c r="M961">
        <f>I961*J961*(1-K961/100)</f>
        <v>1050</v>
      </c>
      <c r="N961" t="str">
        <f>TEXT(B961,"yyyy-mm")</f>
        <v>2025-02</v>
      </c>
    </row>
    <row r="962" spans="1:14" x14ac:dyDescent="0.3">
      <c r="A962">
        <v>5407</v>
      </c>
      <c r="B962" s="1">
        <v>45815</v>
      </c>
      <c r="C962">
        <v>1060</v>
      </c>
      <c r="D962" t="s">
        <v>61</v>
      </c>
      <c r="E962" t="s">
        <v>22</v>
      </c>
      <c r="F962" t="s">
        <v>14</v>
      </c>
      <c r="G962" t="s">
        <v>65</v>
      </c>
      <c r="H962" t="s">
        <v>16</v>
      </c>
      <c r="I962">
        <v>3</v>
      </c>
      <c r="J962">
        <v>12000</v>
      </c>
      <c r="K962">
        <v>5</v>
      </c>
      <c r="L962" t="s">
        <v>25</v>
      </c>
      <c r="M962">
        <f>I962*J962*(1-K962/100)</f>
        <v>34200</v>
      </c>
      <c r="N962" t="str">
        <f>TEXT(B962,"yyyy-mm")</f>
        <v>2025-06</v>
      </c>
    </row>
    <row r="963" spans="1:14" x14ac:dyDescent="0.3">
      <c r="A963">
        <v>5528</v>
      </c>
      <c r="B963" s="1">
        <v>45855</v>
      </c>
      <c r="C963">
        <v>1060</v>
      </c>
      <c r="D963" t="s">
        <v>61</v>
      </c>
      <c r="E963" t="s">
        <v>22</v>
      </c>
      <c r="F963" t="s">
        <v>14</v>
      </c>
      <c r="G963" t="s">
        <v>37</v>
      </c>
      <c r="H963" t="s">
        <v>38</v>
      </c>
      <c r="I963">
        <v>3</v>
      </c>
      <c r="J963">
        <v>7500</v>
      </c>
      <c r="K963">
        <v>0</v>
      </c>
      <c r="L963" t="s">
        <v>20</v>
      </c>
      <c r="M963">
        <f>I963*J963*(1-K963/100)</f>
        <v>22500</v>
      </c>
      <c r="N963" t="str">
        <f>TEXT(B963,"yyyy-mm")</f>
        <v>2025-07</v>
      </c>
    </row>
    <row r="964" spans="1:14" x14ac:dyDescent="0.3">
      <c r="A964">
        <v>5662</v>
      </c>
      <c r="B964" s="1">
        <v>45905</v>
      </c>
      <c r="C964">
        <v>1060</v>
      </c>
      <c r="D964" t="s">
        <v>61</v>
      </c>
      <c r="E964" t="s">
        <v>22</v>
      </c>
      <c r="F964" t="s">
        <v>14</v>
      </c>
      <c r="G964" t="s">
        <v>37</v>
      </c>
      <c r="H964" t="s">
        <v>38</v>
      </c>
      <c r="I964">
        <v>3</v>
      </c>
      <c r="J964">
        <v>7500</v>
      </c>
      <c r="K964">
        <v>15</v>
      </c>
      <c r="L964" t="s">
        <v>43</v>
      </c>
      <c r="M964">
        <f>I964*J964*(1-K964/100)</f>
        <v>19125</v>
      </c>
      <c r="N964" t="str">
        <f>TEXT(B964,"yyyy-mm")</f>
        <v>2025-09</v>
      </c>
    </row>
    <row r="965" spans="1:14" x14ac:dyDescent="0.3">
      <c r="A965">
        <v>5270</v>
      </c>
      <c r="B965" s="1">
        <v>45758</v>
      </c>
      <c r="C965">
        <v>1060</v>
      </c>
      <c r="D965" t="s">
        <v>61</v>
      </c>
      <c r="E965" t="s">
        <v>22</v>
      </c>
      <c r="F965" t="s">
        <v>14</v>
      </c>
      <c r="G965" t="s">
        <v>65</v>
      </c>
      <c r="H965" t="s">
        <v>16</v>
      </c>
      <c r="I965">
        <v>2</v>
      </c>
      <c r="J965">
        <v>12000</v>
      </c>
      <c r="K965">
        <v>5</v>
      </c>
      <c r="L965" t="s">
        <v>34</v>
      </c>
      <c r="M965">
        <f>I965*J965*(1-K965/100)</f>
        <v>22800</v>
      </c>
      <c r="N965" t="str">
        <f>TEXT(B965,"yyyy-mm")</f>
        <v>2025-04</v>
      </c>
    </row>
    <row r="966" spans="1:14" x14ac:dyDescent="0.3">
      <c r="A966">
        <v>5326</v>
      </c>
      <c r="B966" s="1">
        <v>45776</v>
      </c>
      <c r="C966">
        <v>1060</v>
      </c>
      <c r="D966" t="s">
        <v>61</v>
      </c>
      <c r="E966" t="s">
        <v>22</v>
      </c>
      <c r="F966" t="s">
        <v>14</v>
      </c>
      <c r="G966" t="s">
        <v>30</v>
      </c>
      <c r="H966" t="s">
        <v>31</v>
      </c>
      <c r="I966">
        <v>2</v>
      </c>
      <c r="J966">
        <v>350</v>
      </c>
      <c r="K966">
        <v>10</v>
      </c>
      <c r="L966" t="s">
        <v>34</v>
      </c>
      <c r="M966">
        <f>I966*J966*(1-K966/100)</f>
        <v>630</v>
      </c>
      <c r="N966" t="str">
        <f>TEXT(B966,"yyyy-mm")</f>
        <v>2025-04</v>
      </c>
    </row>
    <row r="967" spans="1:14" x14ac:dyDescent="0.3">
      <c r="A967">
        <v>5376</v>
      </c>
      <c r="B967" s="1">
        <v>45801</v>
      </c>
      <c r="C967">
        <v>1060</v>
      </c>
      <c r="D967" t="s">
        <v>61</v>
      </c>
      <c r="E967" t="s">
        <v>22</v>
      </c>
      <c r="F967" t="s">
        <v>14</v>
      </c>
      <c r="G967" t="s">
        <v>15</v>
      </c>
      <c r="H967" t="s">
        <v>16</v>
      </c>
      <c r="I967">
        <v>2</v>
      </c>
      <c r="J967">
        <v>18000</v>
      </c>
      <c r="K967">
        <v>0</v>
      </c>
      <c r="L967" t="s">
        <v>43</v>
      </c>
      <c r="M967">
        <f>I967*J967*(1-K967/100)</f>
        <v>36000</v>
      </c>
      <c r="N967" t="str">
        <f>TEXT(B967,"yyyy-mm")</f>
        <v>2025-05</v>
      </c>
    </row>
    <row r="968" spans="1:14" x14ac:dyDescent="0.3">
      <c r="A968">
        <v>5746</v>
      </c>
      <c r="B968" s="1">
        <v>45937</v>
      </c>
      <c r="C968">
        <v>1060</v>
      </c>
      <c r="D968" t="s">
        <v>61</v>
      </c>
      <c r="E968" t="s">
        <v>22</v>
      </c>
      <c r="F968" t="s">
        <v>14</v>
      </c>
      <c r="G968" t="s">
        <v>15</v>
      </c>
      <c r="H968" t="s">
        <v>16</v>
      </c>
      <c r="I968">
        <v>2</v>
      </c>
      <c r="J968">
        <v>18000</v>
      </c>
      <c r="K968">
        <v>15</v>
      </c>
      <c r="L968" t="s">
        <v>20</v>
      </c>
      <c r="M968">
        <f>I968*J968*(1-K968/100)</f>
        <v>30600</v>
      </c>
      <c r="N968" t="str">
        <f>TEXT(B968,"yyyy-mm")</f>
        <v>2025-10</v>
      </c>
    </row>
    <row r="969" spans="1:14" x14ac:dyDescent="0.3">
      <c r="A969">
        <v>5960</v>
      </c>
      <c r="B969" s="1">
        <v>46009</v>
      </c>
      <c r="C969">
        <v>1060</v>
      </c>
      <c r="D969" t="s">
        <v>61</v>
      </c>
      <c r="E969" t="s">
        <v>22</v>
      </c>
      <c r="F969" t="s">
        <v>14</v>
      </c>
      <c r="G969" t="s">
        <v>15</v>
      </c>
      <c r="H969" t="s">
        <v>16</v>
      </c>
      <c r="I969">
        <v>2</v>
      </c>
      <c r="J969">
        <v>18000</v>
      </c>
      <c r="K969">
        <v>0</v>
      </c>
      <c r="L969" t="s">
        <v>25</v>
      </c>
      <c r="M969">
        <f>I969*J969*(1-K969/100)</f>
        <v>36000</v>
      </c>
      <c r="N969" t="str">
        <f>TEXT(B969,"yyyy-mm")</f>
        <v>2025-12</v>
      </c>
    </row>
    <row r="970" spans="1:14" x14ac:dyDescent="0.3">
      <c r="A970">
        <v>5093</v>
      </c>
      <c r="B970" s="1">
        <v>45692</v>
      </c>
      <c r="C970">
        <v>1060</v>
      </c>
      <c r="D970" t="s">
        <v>61</v>
      </c>
      <c r="E970" t="s">
        <v>22</v>
      </c>
      <c r="F970" t="s">
        <v>14</v>
      </c>
      <c r="G970" t="s">
        <v>52</v>
      </c>
      <c r="H970" t="s">
        <v>16</v>
      </c>
      <c r="I970">
        <v>1</v>
      </c>
      <c r="J970">
        <v>6000</v>
      </c>
      <c r="K970">
        <v>0</v>
      </c>
      <c r="L970" t="s">
        <v>20</v>
      </c>
      <c r="M970">
        <f>I970*J970*(1-K970/100)</f>
        <v>6000</v>
      </c>
      <c r="N970" t="str">
        <f>TEXT(B970,"yyyy-mm")</f>
        <v>2025-02</v>
      </c>
    </row>
    <row r="971" spans="1:14" x14ac:dyDescent="0.3">
      <c r="A971">
        <v>5735</v>
      </c>
      <c r="B971" s="1">
        <v>45931</v>
      </c>
      <c r="C971">
        <v>1060</v>
      </c>
      <c r="D971" t="s">
        <v>61</v>
      </c>
      <c r="E971" t="s">
        <v>22</v>
      </c>
      <c r="F971" t="s">
        <v>14</v>
      </c>
      <c r="G971" t="s">
        <v>52</v>
      </c>
      <c r="H971" t="s">
        <v>16</v>
      </c>
      <c r="I971">
        <v>1</v>
      </c>
      <c r="J971">
        <v>6000</v>
      </c>
      <c r="K971">
        <v>0</v>
      </c>
      <c r="L971" t="s">
        <v>25</v>
      </c>
      <c r="M971">
        <f>I971*J971*(1-K971/100)</f>
        <v>6000</v>
      </c>
      <c r="N971" t="str">
        <f>TEXT(B971,"yyyy-mm")</f>
        <v>2025-10</v>
      </c>
    </row>
    <row r="972" spans="1:14" x14ac:dyDescent="0.3">
      <c r="A972">
        <v>5962</v>
      </c>
      <c r="B972" s="1">
        <v>46009</v>
      </c>
      <c r="C972">
        <v>1060</v>
      </c>
      <c r="D972" t="s">
        <v>61</v>
      </c>
      <c r="E972" t="s">
        <v>22</v>
      </c>
      <c r="F972" t="s">
        <v>14</v>
      </c>
      <c r="G972" t="s">
        <v>30</v>
      </c>
      <c r="H972" t="s">
        <v>31</v>
      </c>
      <c r="I972">
        <v>1</v>
      </c>
      <c r="J972">
        <v>350</v>
      </c>
      <c r="K972">
        <v>0</v>
      </c>
      <c r="L972" t="s">
        <v>17</v>
      </c>
      <c r="M972">
        <f>I972*J972*(1-K972/100)</f>
        <v>350</v>
      </c>
      <c r="N972" t="str">
        <f>TEXT(B972,"yyyy-mm")</f>
        <v>2025-12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6503E-7065-41AA-801F-1076923D8443}">
  <dimension ref="A2:L58"/>
  <sheetViews>
    <sheetView tabSelected="1" zoomScale="63" workbookViewId="0">
      <selection activeCell="S8" sqref="S8"/>
    </sheetView>
  </sheetViews>
  <sheetFormatPr defaultRowHeight="14.4" x14ac:dyDescent="0.3"/>
  <cols>
    <col min="1" max="1" width="29.77734375" bestFit="1" customWidth="1"/>
    <col min="2" max="2" width="12.6640625" bestFit="1" customWidth="1"/>
    <col min="3" max="3" width="21.21875" bestFit="1" customWidth="1"/>
    <col min="6" max="6" width="18.6640625" bestFit="1" customWidth="1"/>
    <col min="9" max="9" width="23.21875" bestFit="1" customWidth="1"/>
    <col min="12" max="12" width="30.6640625" bestFit="1" customWidth="1"/>
  </cols>
  <sheetData>
    <row r="2" spans="3:12" ht="23.4" x14ac:dyDescent="0.45">
      <c r="C2" s="8" t="s">
        <v>105</v>
      </c>
      <c r="F2" s="7" t="s">
        <v>106</v>
      </c>
      <c r="I2" s="7" t="s">
        <v>107</v>
      </c>
      <c r="L2" s="7" t="s">
        <v>108</v>
      </c>
    </row>
    <row r="3" spans="3:12" ht="23.4" x14ac:dyDescent="0.45">
      <c r="C3" s="8">
        <f>SUM('Sales Dataset'!M:M)</f>
        <v>27641715</v>
      </c>
      <c r="F3" s="7">
        <f>COUNTA('Sales Dataset'!A:A)-1</f>
        <v>971</v>
      </c>
      <c r="I3" s="7">
        <f>SUM('Sales Dataset'!I:I)</f>
        <v>2911</v>
      </c>
      <c r="L3" s="8">
        <f>C3/F3</f>
        <v>28467.265705458289</v>
      </c>
    </row>
    <row r="44" spans="1:1" ht="21" x14ac:dyDescent="0.4">
      <c r="A44" s="10" t="s">
        <v>109</v>
      </c>
    </row>
    <row r="46" spans="1:1" s="9" customFormat="1" ht="21" x14ac:dyDescent="0.4">
      <c r="A46" s="9" t="s">
        <v>110</v>
      </c>
    </row>
    <row r="48" spans="1:1" ht="21" x14ac:dyDescent="0.4">
      <c r="A48" s="9" t="s">
        <v>113</v>
      </c>
    </row>
    <row r="50" spans="1:2" ht="21" x14ac:dyDescent="0.4">
      <c r="A50" s="9" t="s">
        <v>111</v>
      </c>
    </row>
    <row r="52" spans="1:2" ht="21" x14ac:dyDescent="0.4">
      <c r="A52" s="9" t="s">
        <v>112</v>
      </c>
    </row>
    <row r="56" spans="1:2" ht="21" x14ac:dyDescent="0.4">
      <c r="A56" s="10" t="s">
        <v>114</v>
      </c>
    </row>
    <row r="57" spans="1:2" s="9" customFormat="1" ht="21" x14ac:dyDescent="0.4">
      <c r="A57" s="9" t="s">
        <v>115</v>
      </c>
      <c r="B57" s="9" t="s">
        <v>65</v>
      </c>
    </row>
    <row r="58" spans="1:2" s="9" customFormat="1" ht="21" x14ac:dyDescent="0.4">
      <c r="A58" s="9" t="s">
        <v>116</v>
      </c>
      <c r="B58" s="9">
        <f>_xlfn.XLOOKUP(B57,'Pivot 4'!A4:A15,'Pivot 4'!B4:B15)</f>
        <v>1192800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54572-FDF7-47FF-9EBB-6B7AFB53A612}">
  <dimension ref="A3:B5"/>
  <sheetViews>
    <sheetView workbookViewId="0">
      <selection activeCell="O7" sqref="O7"/>
    </sheetView>
  </sheetViews>
  <sheetFormatPr defaultRowHeight="14.4" x14ac:dyDescent="0.3"/>
  <cols>
    <col min="1" max="1" width="12.5546875" bestFit="1" customWidth="1"/>
    <col min="2" max="2" width="14.88671875" bestFit="1" customWidth="1"/>
  </cols>
  <sheetData>
    <row r="3" spans="1:2" x14ac:dyDescent="0.3">
      <c r="A3" s="3" t="s">
        <v>90</v>
      </c>
      <c r="B3" t="s">
        <v>92</v>
      </c>
    </row>
    <row r="4" spans="1:2" x14ac:dyDescent="0.3">
      <c r="A4" s="4" t="s">
        <v>22</v>
      </c>
      <c r="B4" s="6">
        <v>7203517.5</v>
      </c>
    </row>
    <row r="5" spans="1:2" x14ac:dyDescent="0.3">
      <c r="A5" s="4" t="s">
        <v>91</v>
      </c>
      <c r="B5" s="6">
        <v>7203517.5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91F59-A9EF-4202-9E5F-DCDE80D1B225}">
  <dimension ref="A3:B16"/>
  <sheetViews>
    <sheetView workbookViewId="0">
      <selection activeCell="G20" sqref="G20"/>
    </sheetView>
  </sheetViews>
  <sheetFormatPr defaultRowHeight="14.4" x14ac:dyDescent="0.3"/>
  <cols>
    <col min="1" max="1" width="12.5546875" bestFit="1" customWidth="1"/>
    <col min="2" max="2" width="14.88671875" bestFit="1" customWidth="1"/>
  </cols>
  <sheetData>
    <row r="3" spans="1:2" x14ac:dyDescent="0.3">
      <c r="A3" s="3" t="s">
        <v>90</v>
      </c>
      <c r="B3" t="s">
        <v>92</v>
      </c>
    </row>
    <row r="4" spans="1:2" x14ac:dyDescent="0.3">
      <c r="A4" s="4" t="s">
        <v>93</v>
      </c>
      <c r="B4" s="5">
        <v>469355</v>
      </c>
    </row>
    <row r="5" spans="1:2" x14ac:dyDescent="0.3">
      <c r="A5" s="4" t="s">
        <v>94</v>
      </c>
      <c r="B5" s="5">
        <v>729322.5</v>
      </c>
    </row>
    <row r="6" spans="1:2" x14ac:dyDescent="0.3">
      <c r="A6" s="4" t="s">
        <v>95</v>
      </c>
      <c r="B6" s="5">
        <v>937752.5</v>
      </c>
    </row>
    <row r="7" spans="1:2" x14ac:dyDescent="0.3">
      <c r="A7" s="4" t="s">
        <v>96</v>
      </c>
      <c r="B7" s="5">
        <v>365250</v>
      </c>
    </row>
    <row r="8" spans="1:2" x14ac:dyDescent="0.3">
      <c r="A8" s="4" t="s">
        <v>97</v>
      </c>
      <c r="B8" s="5">
        <v>525180</v>
      </c>
    </row>
    <row r="9" spans="1:2" x14ac:dyDescent="0.3">
      <c r="A9" s="4" t="s">
        <v>98</v>
      </c>
      <c r="B9" s="5">
        <v>469815</v>
      </c>
    </row>
    <row r="10" spans="1:2" x14ac:dyDescent="0.3">
      <c r="A10" s="4" t="s">
        <v>99</v>
      </c>
      <c r="B10" s="5">
        <v>456945</v>
      </c>
    </row>
    <row r="11" spans="1:2" x14ac:dyDescent="0.3">
      <c r="A11" s="4" t="s">
        <v>100</v>
      </c>
      <c r="B11" s="5">
        <v>379752.5</v>
      </c>
    </row>
    <row r="12" spans="1:2" x14ac:dyDescent="0.3">
      <c r="A12" s="4" t="s">
        <v>101</v>
      </c>
      <c r="B12" s="5">
        <v>348370</v>
      </c>
    </row>
    <row r="13" spans="1:2" x14ac:dyDescent="0.3">
      <c r="A13" s="4" t="s">
        <v>102</v>
      </c>
      <c r="B13" s="5">
        <v>1168497.5</v>
      </c>
    </row>
    <row r="14" spans="1:2" x14ac:dyDescent="0.3">
      <c r="A14" s="4" t="s">
        <v>103</v>
      </c>
      <c r="B14" s="5">
        <v>551675</v>
      </c>
    </row>
    <row r="15" spans="1:2" x14ac:dyDescent="0.3">
      <c r="A15" s="4" t="s">
        <v>104</v>
      </c>
      <c r="B15" s="5">
        <v>801602.5</v>
      </c>
    </row>
    <row r="16" spans="1:2" x14ac:dyDescent="0.3">
      <c r="A16" s="4" t="s">
        <v>91</v>
      </c>
      <c r="B16" s="5">
        <v>7203517.5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BC33B-BB8D-4491-B82C-614F9F986A3C}">
  <dimension ref="A3:B7"/>
  <sheetViews>
    <sheetView workbookViewId="0">
      <selection activeCell="X20" sqref="X20"/>
    </sheetView>
  </sheetViews>
  <sheetFormatPr defaultRowHeight="14.4" x14ac:dyDescent="0.3"/>
  <cols>
    <col min="1" max="1" width="12.5546875" bestFit="1" customWidth="1"/>
    <col min="2" max="2" width="14.88671875" bestFit="1" customWidth="1"/>
    <col min="3" max="5" width="4" bestFit="1" customWidth="1"/>
    <col min="6" max="6" width="6" bestFit="1" customWidth="1"/>
    <col min="7" max="7" width="4" bestFit="1" customWidth="1"/>
    <col min="8" max="8" width="6" bestFit="1" customWidth="1"/>
    <col min="9" max="28" width="4" bestFit="1" customWidth="1"/>
    <col min="29" max="29" width="6" bestFit="1" customWidth="1"/>
    <col min="30" max="32" width="4" bestFit="1" customWidth="1"/>
    <col min="33" max="33" width="6" bestFit="1" customWidth="1"/>
    <col min="34" max="39" width="5" bestFit="1" customWidth="1"/>
    <col min="40" max="40" width="7" bestFit="1" customWidth="1"/>
    <col min="41" max="42" width="5" bestFit="1" customWidth="1"/>
    <col min="43" max="43" width="7" bestFit="1" customWidth="1"/>
    <col min="44" max="74" width="5" bestFit="1" customWidth="1"/>
    <col min="75" max="173" width="6" bestFit="1" customWidth="1"/>
    <col min="174" max="183" width="7" bestFit="1" customWidth="1"/>
    <col min="184" max="184" width="10.77734375" bestFit="1" customWidth="1"/>
  </cols>
  <sheetData>
    <row r="3" spans="1:2" x14ac:dyDescent="0.3">
      <c r="A3" s="3" t="s">
        <v>90</v>
      </c>
      <c r="B3" t="s">
        <v>92</v>
      </c>
    </row>
    <row r="4" spans="1:2" x14ac:dyDescent="0.3">
      <c r="A4" s="4" t="s">
        <v>16</v>
      </c>
      <c r="B4" s="5">
        <v>5833775</v>
      </c>
    </row>
    <row r="5" spans="1:2" x14ac:dyDescent="0.3">
      <c r="A5" s="4" t="s">
        <v>38</v>
      </c>
      <c r="B5" s="5">
        <v>1320495</v>
      </c>
    </row>
    <row r="6" spans="1:2" x14ac:dyDescent="0.3">
      <c r="A6" s="4" t="s">
        <v>31</v>
      </c>
      <c r="B6" s="5">
        <v>49247.5</v>
      </c>
    </row>
    <row r="7" spans="1:2" x14ac:dyDescent="0.3">
      <c r="A7" s="4" t="s">
        <v>91</v>
      </c>
      <c r="B7" s="5">
        <v>7203517.5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5F553-7B7D-4665-853C-C9A77589A0D8}">
  <dimension ref="A3:B16"/>
  <sheetViews>
    <sheetView workbookViewId="0">
      <selection activeCell="L5" sqref="L5"/>
    </sheetView>
  </sheetViews>
  <sheetFormatPr defaultRowHeight="14.4" x14ac:dyDescent="0.3"/>
  <cols>
    <col min="1" max="1" width="13.5546875" bestFit="1" customWidth="1"/>
    <col min="2" max="2" width="14.88671875" bestFit="1" customWidth="1"/>
  </cols>
  <sheetData>
    <row r="3" spans="1:2" x14ac:dyDescent="0.3">
      <c r="A3" s="3" t="s">
        <v>90</v>
      </c>
      <c r="B3" t="s">
        <v>92</v>
      </c>
    </row>
    <row r="4" spans="1:2" x14ac:dyDescent="0.3">
      <c r="A4" s="4" t="s">
        <v>40</v>
      </c>
      <c r="B4" s="5">
        <v>27945</v>
      </c>
    </row>
    <row r="5" spans="1:2" x14ac:dyDescent="0.3">
      <c r="A5" s="4" t="s">
        <v>55</v>
      </c>
      <c r="B5" s="5">
        <v>217750</v>
      </c>
    </row>
    <row r="6" spans="1:2" x14ac:dyDescent="0.3">
      <c r="A6" s="4" t="s">
        <v>36</v>
      </c>
      <c r="B6" s="5">
        <v>1295250</v>
      </c>
    </row>
    <row r="7" spans="1:2" x14ac:dyDescent="0.3">
      <c r="A7" s="4" t="s">
        <v>65</v>
      </c>
      <c r="B7" s="5">
        <v>1192800</v>
      </c>
    </row>
    <row r="8" spans="1:2" x14ac:dyDescent="0.3">
      <c r="A8" s="4" t="s">
        <v>30</v>
      </c>
      <c r="B8" s="5">
        <v>35647.5</v>
      </c>
    </row>
    <row r="9" spans="1:2" x14ac:dyDescent="0.3">
      <c r="A9" s="4" t="s">
        <v>37</v>
      </c>
      <c r="B9" s="5">
        <v>531750</v>
      </c>
    </row>
    <row r="10" spans="1:2" x14ac:dyDescent="0.3">
      <c r="A10" s="4" t="s">
        <v>42</v>
      </c>
      <c r="B10" s="5">
        <v>13600</v>
      </c>
    </row>
    <row r="11" spans="1:2" x14ac:dyDescent="0.3">
      <c r="A11" s="4" t="s">
        <v>19</v>
      </c>
      <c r="B11" s="5">
        <v>287375</v>
      </c>
    </row>
    <row r="12" spans="1:2" x14ac:dyDescent="0.3">
      <c r="A12" s="4" t="s">
        <v>24</v>
      </c>
      <c r="B12" s="5">
        <v>1367300</v>
      </c>
    </row>
    <row r="13" spans="1:2" x14ac:dyDescent="0.3">
      <c r="A13" s="4" t="s">
        <v>52</v>
      </c>
      <c r="B13" s="5">
        <v>378000</v>
      </c>
    </row>
    <row r="14" spans="1:2" x14ac:dyDescent="0.3">
      <c r="A14" s="4" t="s">
        <v>57</v>
      </c>
      <c r="B14" s="5">
        <v>760800</v>
      </c>
    </row>
    <row r="15" spans="1:2" x14ac:dyDescent="0.3">
      <c r="A15" s="4" t="s">
        <v>15</v>
      </c>
      <c r="B15" s="5">
        <v>1095300</v>
      </c>
    </row>
    <row r="16" spans="1:2" x14ac:dyDescent="0.3">
      <c r="A16" s="4" t="s">
        <v>91</v>
      </c>
      <c r="B16" s="5">
        <v>7203517.5</v>
      </c>
    </row>
  </sheetData>
  <conditionalFormatting pivot="1" sqref="B4:B15">
    <cfRule type="colorScale" priority="2">
      <colorScale>
        <cfvo type="min"/>
        <cfvo type="percentile" val="50"/>
        <cfvo type="max"/>
        <color rgb="FFF8696B"/>
        <color rgb="FFFFEB84"/>
        <color rgb="FF63BE7B"/>
      </colorScale>
    </cfRule>
  </conditionalFormatting>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Dataset</vt:lpstr>
      <vt:lpstr>Sales Performance Dashboard.</vt:lpstr>
      <vt:lpstr>Pivot 1</vt:lpstr>
      <vt:lpstr>Pivot 2</vt:lpstr>
      <vt:lpstr>Pivot 3</vt:lpstr>
      <vt:lpstr>Pivot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Ashwathi</dc:creator>
  <cp:lastModifiedBy>Ashwathi Shanigaramu</cp:lastModifiedBy>
  <dcterms:created xsi:type="dcterms:W3CDTF">2026-10-12T09:32:35Z</dcterms:created>
  <dcterms:modified xsi:type="dcterms:W3CDTF">2026-10-12T12:12:01Z</dcterms:modified>
</cp:coreProperties>
</file>